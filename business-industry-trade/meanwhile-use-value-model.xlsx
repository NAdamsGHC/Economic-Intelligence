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ront" sheetId="1" state="visible" r:id="rId1"/>
    <sheet xmlns:r="http://schemas.openxmlformats.org/officeDocument/2006/relationships" name="Inputs" sheetId="2" state="visible" r:id="rId2"/>
    <sheet xmlns:r="http://schemas.openxmlformats.org/officeDocument/2006/relationships" name="Results" sheetId="3" state="visible" r:id="rId3"/>
    <sheet xmlns:r="http://schemas.openxmlformats.org/officeDocument/2006/relationships" name="Sensitivity" sheetId="4" state="visible" r:id="rId4"/>
    <sheet xmlns:r="http://schemas.openxmlformats.org/officeDocument/2006/relationships" name="Compare" sheetId="5" state="visible" r:id="rId5"/>
    <sheet xmlns:r="http://schemas.openxmlformats.org/officeDocument/2006/relationships" name="Settings" sheetId="6" state="visible" r:id="rId6"/>
    <sheet xmlns:r="http://schemas.openxmlformats.org/officeDocument/2006/relationships" name="Static Data" sheetId="7" state="visible" r:id="rId7"/>
    <sheet xmlns:r="http://schemas.openxmlformats.org/officeDocument/2006/relationships" name="Assumptions" sheetId="8" state="visible" r:id="rId8"/>
    <sheet xmlns:r="http://schemas.openxmlformats.org/officeDocument/2006/relationships" name="Calculations" sheetId="9" state="visible" r:id="rId9"/>
    <sheet xmlns:r="http://schemas.openxmlformats.org/officeDocument/2006/relationships" name="Lookups" sheetId="10" state="visible" r:id="rId10"/>
    <sheet xmlns:r="http://schemas.openxmlformats.org/officeDocument/2006/relationships" name="Sources" sheetId="11" state="visible" r:id="rId11"/>
  </sheets>
  <definedNames>
    <definedName name="L_Uses">Lookups!$A$5:$A$12</definedName>
    <definedName name="L_Centres">Lookups!$B$5:$B$29</definedName>
    <definedName name="L_YesNo">Lookups!$C$5:$C$6</definedName>
    <definedName name="L_Owner">Lookups!$D$5:$D$6</definedName>
    <definedName name="L_AreaUnit">Lookups!$E$5:$E$6</definedName>
    <definedName name="L_Occupier">Lookups!$F$5:$F$7</definedName>
    <definedName name="L_Group">Lookups!$G$5:$G$7</definedName>
    <definedName name="L_Scale">Lookups!$H$5:$H$11</definedName>
    <definedName name="L_Grades">Lookups!$I$5:$I$10</definedName>
    <definedName name="L_CostGrade">Lookups!$J$5:$J$10</definedName>
    <definedName name="L_GroupValue">Lookups!$K$5:$K$7</definedName>
    <definedName name="L_Tier">Lookups!$L$5:$L$29</definedName>
    <definedName name="_xlnm.Print_Area" localSheetId="2">'Results'!$A$1:$F$91</definedName>
    <definedName name="_xlnm._FilterDatabase" localSheetId="7" hidden="1">'Assumptions'!$A$4:$W$99</definedName>
  </definedNames>
  <calcPr calcId="124519" fullCalcOnLoad="1"/>
</workbook>
</file>

<file path=xl/styles.xml><?xml version="1.0" encoding="utf-8"?>
<styleSheet xmlns="http://schemas.openxmlformats.org/spreadsheetml/2006/main">
  <numFmts count="9">
    <numFmt numFmtId="164" formatCode="£#,##0;-£#,##0;£0"/>
    <numFmt numFmtId="165" formatCode="£#,##0.00"/>
    <numFmt numFmtId="166" formatCode="dd/mm/yyyy"/>
    <numFmt numFmtId="167" formatCode="0.000"/>
    <numFmt numFmtId="168" formatCode="yyyy-mm-dd"/>
    <numFmt numFmtId="169" formatCode="0.0%"/>
    <numFmt numFmtId="170" formatCode="#,##0.##"/>
    <numFmt numFmtId="171" formatCode="0.0000"/>
    <numFmt numFmtId="172" formatCode="#,##0.0"/>
  </numFmts>
  <fonts count="14">
    <font>
      <name val="Calibri"/>
      <family val="2"/>
      <color theme="1"/>
      <sz val="11"/>
      <scheme val="minor"/>
    </font>
    <font>
      <name val="Arial"/>
      <b val="1"/>
      <color rgb="00045A90"/>
      <sz val="16"/>
    </font>
    <font>
      <name val="Arial"/>
      <i val="1"/>
      <color rgb="00595959"/>
      <sz val="9"/>
    </font>
    <font>
      <name val="Arial"/>
      <b val="1"/>
      <color rgb="00045A90"/>
      <sz val="12"/>
    </font>
    <font>
      <name val="Arial"/>
      <sz val="10"/>
    </font>
    <font>
      <name val="Arial"/>
      <b val="1"/>
      <color rgb="00FFFFFF"/>
      <sz val="10"/>
    </font>
    <font>
      <name val="Arial"/>
      <b val="1"/>
      <color rgb="000000FF"/>
      <sz val="10"/>
    </font>
    <font>
      <name val="Arial"/>
      <sz val="8"/>
    </font>
    <font>
      <name val="Arial"/>
      <color rgb="00045A90"/>
      <sz val="8"/>
      <u val="single"/>
    </font>
    <font>
      <name val="Arial"/>
      <sz val="9"/>
    </font>
    <font>
      <name val="Arial"/>
      <b val="1"/>
      <sz val="10"/>
    </font>
    <font>
      <name val="Arial"/>
      <color rgb="000000FF"/>
      <sz val="9"/>
    </font>
    <font>
      <name val="Arial"/>
      <color rgb="00C00000"/>
      <sz val="9"/>
    </font>
    <font>
      <name val="Arial"/>
      <color rgb="00045A90"/>
      <sz val="9"/>
      <u val="single"/>
    </font>
  </fonts>
  <fills count="6">
    <fill>
      <patternFill/>
    </fill>
    <fill>
      <patternFill patternType="gray125"/>
    </fill>
    <fill>
      <patternFill patternType="solid">
        <fgColor rgb="00045A90"/>
      </patternFill>
    </fill>
    <fill>
      <patternFill patternType="solid">
        <fgColor rgb="00FFF2CC"/>
      </patternFill>
    </fill>
    <fill>
      <patternFill patternType="solid">
        <fgColor rgb="00DCE9F3"/>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9">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2" fillId="0" borderId="0" pivotButton="0" quotePrefix="0" xfId="0"/>
    <xf numFmtId="0" fontId="5" fillId="2" borderId="1" applyAlignment="1" pivotButton="0" quotePrefix="0" xfId="0">
      <alignment vertical="top" wrapText="1"/>
    </xf>
    <xf numFmtId="0" fontId="10" fillId="4" borderId="0" pivotButton="0" quotePrefix="0" xfId="0"/>
    <xf numFmtId="0" fontId="0" fillId="4" borderId="0" pivotButton="0" quotePrefix="0" xfId="0"/>
    <xf numFmtId="0" fontId="6" fillId="3" borderId="1" applyProtection="1" pivotButton="0" quotePrefix="0" xfId="0">
      <protection locked="0" hidden="0"/>
    </xf>
    <xf numFmtId="0" fontId="4" fillId="5" borderId="0" pivotButton="0" quotePrefix="0" xfId="0"/>
    <xf numFmtId="170" fontId="6" fillId="3" borderId="1" applyProtection="1" pivotButton="0" quotePrefix="0" xfId="0">
      <protection locked="0" hidden="0"/>
    </xf>
    <xf numFmtId="9" fontId="6" fillId="3" borderId="1" applyProtection="1" pivotButton="0" quotePrefix="0" xfId="0">
      <protection locked="0" hidden="0"/>
    </xf>
    <xf numFmtId="0" fontId="4" fillId="0" borderId="0" pivotButton="0" quotePrefix="0" xfId="0"/>
    <xf numFmtId="0" fontId="11" fillId="3" borderId="0" applyAlignment="1" applyProtection="1" pivotButton="0" quotePrefix="0" xfId="0">
      <alignment vertical="top" wrapText="1"/>
      <protection locked="0" hidden="0"/>
    </xf>
    <xf numFmtId="0" fontId="3" fillId="0" borderId="0" pivotButton="0" quotePrefix="0" xfId="0"/>
    <xf numFmtId="0" fontId="10" fillId="0" borderId="0" pivotButton="0" quotePrefix="0" xfId="0"/>
    <xf numFmtId="2" fontId="4" fillId="0" borderId="0" pivotButton="0" quotePrefix="0" xfId="0"/>
    <xf numFmtId="164" fontId="4" fillId="0" borderId="0" pivotButton="0" quotePrefix="0" xfId="0"/>
    <xf numFmtId="0" fontId="0" fillId="0" borderId="0" applyAlignment="1" pivotButton="0" quotePrefix="0" xfId="0">
      <alignment vertical="top" wrapText="1"/>
    </xf>
    <xf numFmtId="164" fontId="0" fillId="0" borderId="0" pivotButton="0" quotePrefix="0" xfId="0"/>
    <xf numFmtId="9" fontId="0" fillId="0" borderId="0" pivotButton="0" quotePrefix="0" xfId="0"/>
    <xf numFmtId="172" fontId="0" fillId="0" borderId="0" pivotButton="0" quotePrefix="0" xfId="0"/>
    <xf numFmtId="3" fontId="0" fillId="0" borderId="0" pivotButton="0" quotePrefix="0" xfId="0"/>
    <xf numFmtId="0" fontId="12" fillId="0" borderId="0" pivotButton="0" quotePrefix="0" xfId="0"/>
    <xf numFmtId="2" fontId="0" fillId="0" borderId="0" pivotButton="0" quotePrefix="0" xfId="0"/>
    <xf numFmtId="1" fontId="6" fillId="3" borderId="0" pivotButton="0" quotePrefix="0" xfId="0"/>
    <xf numFmtId="169" fontId="6" fillId="3" borderId="0" pivotButton="0" quotePrefix="0" xfId="0"/>
    <xf numFmtId="0" fontId="6" fillId="3" borderId="0" pivotButton="0" quotePrefix="0" xfId="0"/>
    <xf numFmtId="165" fontId="6" fillId="3" borderId="0" pivotButton="0" quotePrefix="0" xfId="0"/>
    <xf numFmtId="166" fontId="6" fillId="3" borderId="0" pivotButton="0" quotePrefix="0" xfId="0"/>
    <xf numFmtId="0" fontId="9" fillId="0" borderId="0" applyAlignment="1" pivotButton="0" quotePrefix="0" xfId="0">
      <alignment vertical="top" wrapText="1"/>
    </xf>
    <xf numFmtId="167" fontId="6" fillId="3" borderId="0" pivotButton="0" quotePrefix="0" xfId="0"/>
    <xf numFmtId="3" fontId="6" fillId="3" borderId="0" pivotButton="0" quotePrefix="0" xfId="0"/>
    <xf numFmtId="0" fontId="4" fillId="0" borderId="1" pivotButton="0" quotePrefix="0" xfId="0"/>
    <xf numFmtId="0" fontId="4" fillId="0" borderId="1" applyAlignment="1" pivotButton="0" quotePrefix="0" xfId="0">
      <alignment vertical="top" wrapText="1"/>
    </xf>
    <xf numFmtId="0" fontId="0" fillId="0" borderId="1" pivotButton="0" quotePrefix="0" xfId="0"/>
    <xf numFmtId="0" fontId="7" fillId="0" borderId="1" applyAlignment="1" pivotButton="0" quotePrefix="0" xfId="0">
      <alignment vertical="top" wrapText="1"/>
    </xf>
    <xf numFmtId="0" fontId="8" fillId="0" borderId="1" pivotButton="0" quotePrefix="0" xfId="0"/>
    <xf numFmtId="0" fontId="9" fillId="0" borderId="0" pivotButton="0" quotePrefix="0" xfId="0"/>
    <xf numFmtId="1" fontId="9" fillId="0" borderId="0" pivotButton="0" quotePrefix="0" xfId="0"/>
    <xf numFmtId="2" fontId="9" fillId="0" borderId="0" pivotButton="0" quotePrefix="0" xfId="0"/>
    <xf numFmtId="171" fontId="9" fillId="0" borderId="0" pivotButton="0" quotePrefix="0" xfId="0"/>
    <xf numFmtId="9" fontId="9" fillId="0" borderId="0" pivotButton="0" quotePrefix="0" xfId="0"/>
    <xf numFmtId="172" fontId="9" fillId="0" borderId="0" pivotButton="0" quotePrefix="0" xfId="0"/>
    <xf numFmtId="164" fontId="9" fillId="0" borderId="0" pivotButton="0" quotePrefix="0" xfId="0"/>
    <xf numFmtId="167" fontId="9" fillId="0" borderId="0" pivotButton="0" quotePrefix="0" xfId="0"/>
    <xf numFmtId="165" fontId="9" fillId="0" borderId="0" pivotButton="0" quotePrefix="0" xfId="0"/>
    <xf numFmtId="0" fontId="13" fillId="0" borderId="0" pivotButton="0" quotePrefix="0" xfId="0"/>
  </cellXfs>
  <cellStyles count="1">
    <cellStyle name="Normal" xfId="0" builtinId="0" hidden="0"/>
  </cellStyles>
  <dxfs count="1">
    <dxf>
      <font>
        <name val="Arial"/>
        <b val="1"/>
        <color rgb="00C00000"/>
        <sz val="10"/>
      </font>
      <fill>
        <patternFill patternType="solid">
          <f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Benefit-cost ratio: central with low to high scenario range</a:t>
            </a:r>
          </a:p>
        </rich>
      </tx>
    </title>
    <plotArea>
      <barChart>
        <barDir val="bar"/>
        <grouping val="clustered"/>
        <ser>
          <idx val="0"/>
          <order val="0"/>
          <tx>
            <strRef>
              <f>'Results'!B75</f>
            </strRef>
          </tx>
          <spPr>
            <a:solidFill xmlns:a="http://schemas.openxmlformats.org/drawingml/2006/main">
              <a:srgbClr val="045A90"/>
            </a:solidFill>
            <a:ln xmlns:a="http://schemas.openxmlformats.org/drawingml/2006/main">
              <a:prstDash val="solid"/>
            </a:ln>
          </spPr>
          <errBars>
            <errBarType val="both"/>
            <errValType val="cust"/>
            <noEndCap val="0"/>
            <minus>
              <numRef>
                <f>Results!$C$76:$C$77</f>
              </numRef>
            </minus>
            <plus>
              <numRef>
                <f>Results!$D$76:$D$77</f>
              </numRef>
            </plus>
          </errBars>
          <cat>
            <strRef>
              <f>Results!$A$76:$A$77</f>
            </strRef>
          </cat>
          <val>
            <numRef>
              <f>'Results'!$B$76:$B$77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 of benefit per £1 of net public cost</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78</row>
      <rowOff>0</rowOff>
    </from>
    <ext cx="576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hyperlink" Target="https://assets.publishing.service.gov.uk/media/698dbcd17da91680ad7f4308/The_Green_Book_2026.pdf" TargetMode="External" Id="rId1"/><Relationship Type="http://schemas.openxmlformats.org/officeDocument/2006/relationships/hyperlink" Target="https://assets.publishing.service.gov.uk/media/698f30a4492ea446ea7f43d3/Green_Book_supplementary_guidance_-_discounting.pdf" TargetMode="External" Id="rId2"/><Relationship Type="http://schemas.openxmlformats.org/officeDocument/2006/relationships/hyperlink" Target="https://www.gov.uk/government/statistics/gdp-deflators-at-market-prices-and-money-gdp-september-2026-quarterly-national-accounts" TargetMode="External" Id="rId3"/><Relationship Type="http://schemas.openxmlformats.org/officeDocument/2006/relationships/hyperlink" Target="https://www.gov.uk/government/statistics/gdp-deflators-at-market-prices-and-money-gdp-september-2026-quarterly-national-accounts" TargetMode="External" Id="rId4"/><Relationship Type="http://schemas.openxmlformats.org/officeDocument/2006/relationships/hyperlink" Target="https://assets.publishing.service.gov.uk/media/60fa9169d3bf7f0448719daf/Wellbeing_guidance_for_appraisal_-_supplementary_Green_Book_guidance.pdf" TargetMode="External" Id="rId5"/><Relationship Type="http://schemas.openxmlformats.org/officeDocument/2006/relationships/hyperlink" Target="https://assets.publishing.service.gov.uk/media/60fa9169d3bf7f0448719daf/Wellbeing_guidance_for_appraisal_-_supplementary_Green_Book_guidance.pdf" TargetMode="External" Id="rId6"/><Relationship Type="http://schemas.openxmlformats.org/officeDocument/2006/relationships/hyperlink" Target="https://assets.publishing.service.gov.uk/media/698dbcd17da91680ad7f4308/The_Green_Book_2026.pdf" TargetMode="External" Id="rId7"/><Relationship Type="http://schemas.openxmlformats.org/officeDocument/2006/relationships/hyperlink" Target="https://assets.publishing.service.gov.uk/media/5a7dbd4340f0b65d8b4e3357/cost_benefit_analysis_guidance_for_local_partnerships.pdf" TargetMode="External" Id="rId8"/><Relationship Type="http://schemas.openxmlformats.org/officeDocument/2006/relationships/hyperlink" Target="https://assets.publishing.service.gov.uk/media/5a7dbd4340f0b65d8b4e3357/cost_benefit_analysis_guidance_for_local_partnerships.pdf" TargetMode="External" Id="rId9"/><Relationship Type="http://schemas.openxmlformats.org/officeDocument/2006/relationships/hyperlink" Target="https://assets.publishing.service.gov.uk/media/5a7dbd4340f0b65d8b4e3357/cost_benefit_analysis_guidance_for_local_partnerships.pdf" TargetMode="External" Id="rId10"/><Relationship Type="http://schemas.openxmlformats.org/officeDocument/2006/relationships/hyperlink" Target="https://assets.publishing.service.gov.uk/media/5a7dbd4340f0b65d8b4e3357/cost_benefit_analysis_guidance_for_local_partnerships.pdf" TargetMode="External" Id="rId11"/><Relationship Type="http://schemas.openxmlformats.org/officeDocument/2006/relationships/hyperlink" Target="https://assets.publishing.service.gov.uk/media/5a7dbd4340f0b65d8b4e3357/cost_benefit_analysis_guidance_for_local_partnerships.pdf" TargetMode="External" Id="rId12"/><Relationship Type="http://schemas.openxmlformats.org/officeDocument/2006/relationships/hyperlink" Target="https://assets.publishing.service.gov.uk/media/5a7dbd4340f0b65d8b4e3357/cost_benefit_analysis_guidance_for_local_partnerships.pdf" TargetMode="External" Id="rId13"/><Relationship Type="http://schemas.openxmlformats.org/officeDocument/2006/relationships/hyperlink" Target="https://assets.publishing.service.gov.uk/media/5a74dae740f0b65f61322c72/Optimism_bias.pdf" TargetMode="External" Id="rId14"/><Relationship Type="http://schemas.openxmlformats.org/officeDocument/2006/relationships/hyperlink" Target="https://assets.publishing.service.gov.uk/media/5a74dae740f0b65f61322c72/Optimism_bias.pdf" TargetMode="External" Id="rId15"/><Relationship Type="http://schemas.openxmlformats.org/officeDocument/2006/relationships/hyperlink" Target="https://assets.publishing.service.gov.uk/media/696f5d772b64f0e8c32e3353/Main_MHCLG_Appraisal_Guide.pdf" TargetMode="External" Id="rId16"/><Relationship Type="http://schemas.openxmlformats.org/officeDocument/2006/relationships/hyperlink" Target="https://assets.publishing.service.gov.uk/media/696f5d772b64f0e8c32e3353/Main_MHCLG_Appraisal_Guide.pdf" TargetMode="External" Id="rId17"/><Relationship Type="http://schemas.openxmlformats.org/officeDocument/2006/relationships/hyperlink" Target="https://assets.publishing.service.gov.uk/media/5fb65741e90e0720929a03ce/Open_Doors_Evaluation_Report.pdf" TargetMode="External" Id="rId18"/><Relationship Type="http://schemas.openxmlformats.org/officeDocument/2006/relationships/hyperlink" Target="https://www.gov.uk/business-rates-relief/empty-property-relief" TargetMode="External" Id="rId19"/><Relationship Type="http://schemas.openxmlformats.org/officeDocument/2006/relationships/hyperlink" Target="https://www.legislation.gov.uk/uksi/2024/323/made" TargetMode="External" Id="rId20"/><Relationship Type="http://schemas.openxmlformats.org/officeDocument/2006/relationships/hyperlink" Target="https://www.gov.uk/calculate-your-business-rates" TargetMode="External" Id="rId21"/><Relationship Type="http://schemas.openxmlformats.org/officeDocument/2006/relationships/hyperlink" Target="https://www.gov.uk/apply-for-business-rate-relief/small-business-rate-relief" TargetMode="External" Id="rId22"/><Relationship Type="http://schemas.openxmlformats.org/officeDocument/2006/relationships/hyperlink" Target="https://www.gov.uk/apply-for-business-rate-relief/charitable-rate-relief" TargetMode="External" Id="rId23"/><Relationship Type="http://schemas.openxmlformats.org/officeDocument/2006/relationships/hyperlink" Target="https://www.gov.uk/government/publications/the-mhclg-appraisal-guide/mhclg-appraisal-guide-technical-annex" TargetMode="External" Id="rId24"/><Relationship Type="http://schemas.openxmlformats.org/officeDocument/2006/relationships/hyperlink" Target="https://www.gov.uk/government/publications/the-mhclg-appraisal-guide/mhclg-appraisal-guide-technical-annex" TargetMode="External" Id="rId25"/><Relationship Type="http://schemas.openxmlformats.org/officeDocument/2006/relationships/hyperlink" Target="https://www.gov.uk/introduction-to-business-rates/how-your-rates-are-calculated" TargetMode="External" Id="rId26"/><Relationship Type="http://schemas.openxmlformats.org/officeDocument/2006/relationships/hyperlink" Target="https://www.gov.uk/government/statistics/gdp-deflators-at-market-prices-and-money-gdp-september-2026-quarterly-national-accounts" TargetMode="External" Id="rId27"/><Relationship Type="http://schemas.openxmlformats.org/officeDocument/2006/relationships/hyperlink" Target="https://assets.publishing.service.gov.uk/media/696f5d772b64f0e8c32e3353/Main_MHCLG_Appraisal_Guide.pdf" TargetMode="External" Id="rId28"/><Relationship Type="http://schemas.openxmlformats.org/officeDocument/2006/relationships/hyperlink" Target="https://www.kirklees.gov.uk/beta/planning-policy/pdf/examination/national-evidence/NE48_employment_density_guide_3rd_edition.pdf" TargetMode="External" Id="rId29"/><Relationship Type="http://schemas.openxmlformats.org/officeDocument/2006/relationships/hyperlink" Target="https://www.kirklees.gov.uk/beta/planning-policy/pdf/examination/national-evidence/NE48_employment_density_guide_3rd_edition.pdf" TargetMode="External" Id="rId30"/><Relationship Type="http://schemas.openxmlformats.org/officeDocument/2006/relationships/hyperlink" Target="https://www.kirklees.gov.uk/beta/planning-policy/pdf/examination/national-evidence/NE48_employment_density_guide_3rd_edition.pdf" TargetMode="External" Id="rId31"/><Relationship Type="http://schemas.openxmlformats.org/officeDocument/2006/relationships/hyperlink" Target="https://www.kirklees.gov.uk/beta/planning-policy/pdf/examination/national-evidence/NE48_employment_density_guide_3rd_edition.pdf" TargetMode="External" Id="rId32"/><Relationship Type="http://schemas.openxmlformats.org/officeDocument/2006/relationships/hyperlink" Target="https://www.kirklees.gov.uk/beta/planning-policy/pdf/examination/national-evidence/NE48_employment_density_guide_3rd_edition.pdf" TargetMode="External" Id="rId33"/><Relationship Type="http://schemas.openxmlformats.org/officeDocument/2006/relationships/hyperlink" Target="https://www.kirklees.gov.uk/beta/planning-policy/pdf/examination/national-evidence/NE48_employment_density_guide_3rd_edition.pdf" TargetMode="External" Id="rId34"/><Relationship Type="http://schemas.openxmlformats.org/officeDocument/2006/relationships/hyperlink" Target="https://www.kirklees.gov.uk/beta/planning-policy/pdf/examination/national-evidence/NE48_employment_density_guide_3rd_edition.pdf" TargetMode="External" Id="rId35"/><Relationship Type="http://schemas.openxmlformats.org/officeDocument/2006/relationships/hyperlink" Target="https://www.kirklees.gov.uk/beta/planning-policy/pdf/examination/national-evidence/NE48_employment_density_guide_3rd_edition.pdf" TargetMode="External" Id="rId36"/><Relationship Type="http://schemas.openxmlformats.org/officeDocument/2006/relationships/hyperlink" Target="https://www.kirklees.gov.uk/beta/planning-policy/pdf/examination/national-evidence/NE48_employment_density_guide_3rd_edition.pdf" TargetMode="External" Id="rId37"/><Relationship Type="http://schemas.openxmlformats.org/officeDocument/2006/relationships/hyperlink" Target="https://www.kirklees.gov.uk/beta/planning-policy/pdf/examination/national-evidence/NE48_employment_density_guide_3rd_edition.pdf" TargetMode="External" Id="rId38"/><Relationship Type="http://schemas.openxmlformats.org/officeDocument/2006/relationships/hyperlink" Target="https://www.kirklees.gov.uk/beta/planning-policy/pdf/examination/national-evidence/NE48_employment_density_guide_3rd_edition.pdf" TargetMode="External" Id="rId39"/><Relationship Type="http://schemas.openxmlformats.org/officeDocument/2006/relationships/hyperlink" Target="https://www.nomisweb.co.uk/datasets/newbres6pub" TargetMode="External" Id="rId40"/><Relationship Type="http://schemas.openxmlformats.org/officeDocument/2006/relationships/hyperlink" Target="https://www.nomisweb.co.uk/datasets/newbres6pub" TargetMode="External" Id="rId41"/><Relationship Type="http://schemas.openxmlformats.org/officeDocument/2006/relationships/hyperlink" Target="https://www.nomisweb.co.uk/datasets/newbres6pub" TargetMode="External" Id="rId42"/><Relationship Type="http://schemas.openxmlformats.org/officeDocument/2006/relationships/hyperlink" Target="https://www.nomisweb.co.uk/datasets/newbres6pub" TargetMode="External" Id="rId43"/><Relationship Type="http://schemas.openxmlformats.org/officeDocument/2006/relationships/hyperlink" Target="https://www.nomisweb.co.uk/datasets/newbres6pub" TargetMode="External" Id="rId44"/><Relationship Type="http://schemas.openxmlformats.org/officeDocument/2006/relationships/hyperlink" Target="https://www.nomisweb.co.uk/datasets/newbres6pub" TargetMode="External" Id="rId45"/><Relationship Type="http://schemas.openxmlformats.org/officeDocument/2006/relationships/hyperlink" Target="https://www.nomisweb.co.uk/datasets/newbres6pub" TargetMode="External" Id="rId46"/><Relationship Type="http://schemas.openxmlformats.org/officeDocument/2006/relationships/hyperlink" Target="https://www.nomisweb.co.uk/datasets/newbres6pub" TargetMode="External" Id="rId47"/><Relationship Type="http://schemas.openxmlformats.org/officeDocument/2006/relationships/hyperlink" Target="https://assets.publishing.service.gov.uk/media/5a7ec4b9e5274a2e87db1c92/additionality_guide_2014_full.pdf" TargetMode="External" Id="rId48"/><Relationship Type="http://schemas.openxmlformats.org/officeDocument/2006/relationships/hyperlink" Target="https://assets.publishing.service.gov.uk/media/5a7ec4b9e5274a2e87db1c92/additionality_guide_2014_full.pdf" TargetMode="External" Id="rId49"/><Relationship Type="http://schemas.openxmlformats.org/officeDocument/2006/relationships/hyperlink" Target="https://assets.publishing.service.gov.uk/media/5a7ec4b9e5274a2e87db1c92/additionality_guide_2014_full.pdf" TargetMode="External" Id="rId50"/><Relationship Type="http://schemas.openxmlformats.org/officeDocument/2006/relationships/hyperlink" Target="https://assets.publishing.service.gov.uk/media/5a7ec4b9e5274a2e87db1c92/additionality_guide_2014_full.pdf" TargetMode="External" Id="rId51"/><Relationship Type="http://schemas.openxmlformats.org/officeDocument/2006/relationships/hyperlink" Target="https://assets.publishing.service.gov.uk/media/698dbcd17da91680ad7f4308/The_Green_Book_2026.pdf" TargetMode="External" Id="rId52"/><Relationship Type="http://schemas.openxmlformats.org/officeDocument/2006/relationships/hyperlink" Target="https://www.ons.gov.uk/economy/grossdomesticproductgdp/datasets/regionalgrossvalueaddedbalancedbyindustrylocalauthoritiesbyitl1region" TargetMode="External" Id="rId53"/><Relationship Type="http://schemas.openxmlformats.org/officeDocument/2006/relationships/hyperlink" Target="https://www.ons.gov.uk/economy/grossdomesticproductgdp/datasets/regionalgrossvalueaddedbalancedbyindustrylocalauthoritiesbyitl1region" TargetMode="External" Id="rId54"/><Relationship Type="http://schemas.openxmlformats.org/officeDocument/2006/relationships/hyperlink" Target="https://www.ons.gov.uk/economy/grossdomesticproductgdp/datasets/regionalgrossvalueaddedbalancedbyindustrylocalauthoritiesbyitl1region" TargetMode="External" Id="rId55"/><Relationship Type="http://schemas.openxmlformats.org/officeDocument/2006/relationships/hyperlink" Target="https://www.ons.gov.uk/economy/grossdomesticproductgdp/datasets/regionalgrossvalueaddedbalancedbyindustrylocalauthoritiesbyitl1region" TargetMode="External" Id="rId56"/><Relationship Type="http://schemas.openxmlformats.org/officeDocument/2006/relationships/hyperlink" Target="https://www.ons.gov.uk/economy/grossdomesticproductgdp/datasets/regionalgrossvalueaddedbalancedbyindustrylocalauthoritiesbyitl1region" TargetMode="External" Id="rId57"/><Relationship Type="http://schemas.openxmlformats.org/officeDocument/2006/relationships/hyperlink" Target="https://www.ons.gov.uk/economy/grossdomesticproductgdp/datasets/regionalgrossvalueaddedbalancedbyindustrylocalauthoritiesbyitl1region" TargetMode="External" Id="rId58"/><Relationship Type="http://schemas.openxmlformats.org/officeDocument/2006/relationships/hyperlink" Target="https://www.ons.gov.uk/economy/grossdomesticproductgdp/datasets/regionalgrossvalueaddedbalancedbyindustrylocalauthoritiesbyitl1region" TargetMode="External" Id="rId59"/><Relationship Type="http://schemas.openxmlformats.org/officeDocument/2006/relationships/hyperlink" Target="https://www.ons.gov.uk/economy/grossdomesticproductgdp/datasets/regionalgrossvalueaddedbalancedbyindustrylocalauthoritiesbyitl1region" TargetMode="External" Id="rId60"/><Relationship Type="http://schemas.openxmlformats.org/officeDocument/2006/relationships/hyperlink" Target="https://assets.publishing.service.gov.uk/media/5a7ec4b9e5274a2e87db1c92/additionality_guide_2014_full.pdf" TargetMode="External" Id="rId61"/><Relationship Type="http://schemas.openxmlformats.org/officeDocument/2006/relationships/hyperlink" Target="https://assets.publishing.service.gov.uk/media/5a7ec4b9e5274a2e87db1c92/additionality_guide_2014_full.pdf" TargetMode="External" Id="rId62"/><Relationship Type="http://schemas.openxmlformats.org/officeDocument/2006/relationships/hyperlink" Target="https://assets.publishing.service.gov.uk/media/5a7ec4b9e5274a2e87db1c92/additionality_guide_2014_full.pdf" TargetMode="External" Id="rId63"/><Relationship Type="http://schemas.openxmlformats.org/officeDocument/2006/relationships/hyperlink" Target="https://assets.publishing.service.gov.uk/media/6a55d47b2467584757371eb6/Towns_Fund_Evaluation_Value_for_Money_Annex.pdf" TargetMode="External" Id="rId64"/><Relationship Type="http://schemas.openxmlformats.org/officeDocument/2006/relationships/hyperlink" Target="https://www.ons.gov.uk/businessindustryandtrade/business/businessservices/datasets/uknonfinancialbusinesseconomyannualbusinesssurveysectionsas" TargetMode="External" Id="rId65"/><Relationship Type="http://schemas.openxmlformats.org/officeDocument/2006/relationships/hyperlink" Target="https://www.ons.gov.uk/businessindustryandtrade/business/businessservices/datasets/uknonfinancialbusinesseconomyannualbusinesssurveysectionsas" TargetMode="External" Id="rId66"/><Relationship Type="http://schemas.openxmlformats.org/officeDocument/2006/relationships/hyperlink" Target="https://assets.publishing.service.gov.uk/media/5a7ec4b9e5274a2e87db1c92/additionality_guide_2014_full.pdf" TargetMode="External" Id="rId67"/><Relationship Type="http://schemas.openxmlformats.org/officeDocument/2006/relationships/hyperlink" Target="https://assets.publishing.service.gov.uk/media/5a7ec4b9e5274a2e87db1c92/additionality_guide_2014_full.pdf" TargetMode="External" Id="rId68"/><Relationship Type="http://schemas.openxmlformats.org/officeDocument/2006/relationships/hyperlink" Target="https://assets.publishing.service.gov.uk/media/5fb65741e90e0720929a03ce/Open_Doors_Evaluation_Report.pdf" TargetMode="External" Id="rId69"/><Relationship Type="http://schemas.openxmlformats.org/officeDocument/2006/relationships/hyperlink" Target="https://www.gov.uk/vat-rates" TargetMode="External" Id="rId70"/><Relationship Type="http://schemas.openxmlformats.org/officeDocument/2006/relationships/hyperlink" Target="https://www.ons.gov.uk/businessindustryandtrade/business/activitysizeandlocation/datasets/businessdemographyreferencetable" TargetMode="External" Id="rId71"/><Relationship Type="http://schemas.openxmlformats.org/officeDocument/2006/relationships/hyperlink" Target="https://www.ons.gov.uk/businessindustryandtrade/business/activitysizeandlocation/datasets/businessdemographyreferencetable" TargetMode="External" Id="rId72"/><Relationship Type="http://schemas.openxmlformats.org/officeDocument/2006/relationships/hyperlink" Target="https://assets.publishing.service.gov.uk/media/60fa9169d3bf7f0448719daf/Wellbeing_guidance_for_appraisal_-_supplementary_Green_Book_guidance.pdf" TargetMode="External" Id="rId73"/><Relationship Type="http://schemas.openxmlformats.org/officeDocument/2006/relationships/hyperlink" Target="https://assets.publishing.service.gov.uk/media/60fa9169d3bf7f0448719daf/Wellbeing_guidance_for_appraisal_-_supplementary_Green_Book_guidance.pdf" TargetMode="External" Id="rId74"/><Relationship Type="http://schemas.openxmlformats.org/officeDocument/2006/relationships/hyperlink" Target="https://assets.publishing.service.gov.uk/media/5a7ec4b9e5274a2e87db1c92/additionality_guide_2014_full.pdf" TargetMode="External" Id="rId75"/><Relationship Type="http://schemas.openxmlformats.org/officeDocument/2006/relationships/hyperlink" Target="https://assets.publishing.service.gov.uk/media/5a7dbd4340f0b65d8b4e3357/cost_benefit_analysis_guidance_for_local_partnerships.pdf" TargetMode="External" Id="rId76"/><Relationship Type="http://schemas.openxmlformats.org/officeDocument/2006/relationships/hyperlink" Target="https://www.greatermanchester-ca.gov.uk/what-we-do/research/research-cost-benefit-analysis/" TargetMode="External" Id="rId77"/><Relationship Type="http://schemas.openxmlformats.org/officeDocument/2006/relationships/hyperlink" Target="https://assets.publishing.service.gov.uk/media/60fa9169d3bf7f0448719daf/Wellbeing_guidance_for_appraisal_-_supplementary_Green_Book_guidance.pdf" TargetMode="External" Id="rId78"/><Relationship Type="http://schemas.openxmlformats.org/officeDocument/2006/relationships/hyperlink" Target="https://assets.publishing.service.gov.uk/media/6a55d47b2467584757371eb6/Towns_Fund_Evaluation_Value_for_Money_Annex.pdf" TargetMode="External" Id="rId79"/><Relationship Type="http://schemas.openxmlformats.org/officeDocument/2006/relationships/hyperlink" Target="https://www.greatermanchester-ca.gov.uk/what-we-do/research/research-cost-benefit-analysis/" TargetMode="External" Id="rId80"/><Relationship Type="http://schemas.openxmlformats.org/officeDocument/2006/relationships/hyperlink" Target="https://www.greatermanchester-ca.gov.uk/what-we-do/research/research-cost-benefit-analysis/" TargetMode="External" Id="rId81"/><Relationship Type="http://schemas.openxmlformats.org/officeDocument/2006/relationships/hyperlink" Target="https://www.greatermanchester-ca.gov.uk/what-we-do/research/research-cost-benefit-analysis/" TargetMode="External" Id="rId82"/><Relationship Type="http://schemas.openxmlformats.org/officeDocument/2006/relationships/hyperlink" Target="https://www.greatermanchester-ca.gov.uk/what-we-do/research/research-cost-benefit-analysis/" TargetMode="External" Id="rId83"/><Relationship Type="http://schemas.openxmlformats.org/officeDocument/2006/relationships/hyperlink" Target="https://assets.publishing.service.gov.uk/media/60fa9169d3bf7f0448719daf/Wellbeing_guidance_for_appraisal_-_supplementary_Green_Book_guidance.pdf" TargetMode="External" Id="rId84"/><Relationship Type="http://schemas.openxmlformats.org/officeDocument/2006/relationships/hyperlink" Target="https://assets.publishing.service.gov.uk/media/696f5d772b64f0e8c32e3353/Main_MHCLG_Appraisal_Guide.pdf" TargetMode="External" Id="rId85"/><Relationship Type="http://schemas.openxmlformats.org/officeDocument/2006/relationships/hyperlink" Target="https://assets.publishing.service.gov.uk/media/5a7ec4b9e5274a2e87db1c92/additionality_guide_2014_full.pdf" TargetMode="External" Id="rId86"/><Relationship Type="http://schemas.openxmlformats.org/officeDocument/2006/relationships/hyperlink" Target="https://assets.publishing.service.gov.uk/media/5a7ec4b9e5274a2e87db1c92/additionality_guide_2014_full.pdf" TargetMode="External" Id="rId87"/><Relationship Type="http://schemas.openxmlformats.org/officeDocument/2006/relationships/hyperlink" Target="https://www.newcastle.gov.uk/sites/default/files/2026-06/section_3_-_strategic_policies.pdf" TargetMode="External" Id="rId88"/><Relationship Type="http://schemas.openxmlformats.org/officeDocument/2006/relationships/hyperlink" Target="https://assets.publishing.service.gov.uk/media/696f5d772b64f0e8c32e3353/Main_MHCLG_Appraisal_Guide.pdf" TargetMode="External" Id="rId89"/><Relationship Type="http://schemas.openxmlformats.org/officeDocument/2006/relationships/hyperlink" Target="https://www.gov.uk/government/publications/measuring-social-value-paper-8-measuring-the-placemaking-impacts-of-commercial-led-regeneration" TargetMode="External" Id="rId90"/></Relationships>
</file>

<file path=xl/worksheets/_rels/sheet11.xml.rels><Relationships xmlns="http://schemas.openxmlformats.org/package/2006/relationships"><Relationship Type="http://schemas.openxmlformats.org/officeDocument/2006/relationships/hyperlink" Target="https://www.newcastle.gov.uk/sites/default/files/2026-06/section_3_-_strategic_policies.pdf" TargetMode="External" Id="rId1"/><Relationship Type="http://schemas.openxmlformats.org/officeDocument/2006/relationships/hyperlink" Target="https://www.greatermanchester-ca.gov.uk/what-we-do/research/research-cost-benefit-analysis/" TargetMode="External" Id="rId2"/><Relationship Type="http://schemas.openxmlformats.org/officeDocument/2006/relationships/hyperlink" Target="https://www.greatermanchester-ca.gov.uk/what-we-do/research/research-cost-benefit-analysis/" TargetMode="External" Id="rId3"/><Relationship Type="http://schemas.openxmlformats.org/officeDocument/2006/relationships/hyperlink" Target="https://www.greatermanchester-ca.gov.uk/what-we-do/research/research-cost-benefit-analysis/" TargetMode="External" Id="rId4"/><Relationship Type="http://schemas.openxmlformats.org/officeDocument/2006/relationships/hyperlink" Target="https://www.greatermanchester-ca.gov.uk/what-we-do/research/research-cost-benefit-analysis/" TargetMode="External" Id="rId5"/><Relationship Type="http://schemas.openxmlformats.org/officeDocument/2006/relationships/hyperlink" Target="https://www.gov.uk/apply-for-business-rate-relief/charitable-rate-relief" TargetMode="External" Id="rId6"/><Relationship Type="http://schemas.openxmlformats.org/officeDocument/2006/relationships/hyperlink" Target="https://www.gov.uk/business-rates-relief/empty-property-relief" TargetMode="External" Id="rId7"/><Relationship Type="http://schemas.openxmlformats.org/officeDocument/2006/relationships/hyperlink" Target="https://www.gov.uk/calculate-your-business-rates" TargetMode="External" Id="rId8"/><Relationship Type="http://schemas.openxmlformats.org/officeDocument/2006/relationships/hyperlink" Target="https://www.gov.uk/introduction-to-business-rates/how-your-rates-are-calculated" TargetMode="External" Id="rId9"/><Relationship Type="http://schemas.openxmlformats.org/officeDocument/2006/relationships/hyperlink" Target="https://www.gov.uk/apply-for-business-rate-relief/small-business-rate-relief" TargetMode="External" Id="rId10"/><Relationship Type="http://schemas.openxmlformats.org/officeDocument/2006/relationships/hyperlink" Target="https://www.gov.uk/vat-rates" TargetMode="External" Id="rId11"/><Relationship Type="http://schemas.openxmlformats.org/officeDocument/2006/relationships/hyperlink" Target="https://assets.publishing.service.gov.uk/media/5a7ec4b9e5274a2e87db1c92/additionality_guide_2014_full.pdf" TargetMode="External" Id="rId12"/><Relationship Type="http://schemas.openxmlformats.org/officeDocument/2006/relationships/hyperlink" Target="https://assets.publishing.service.gov.uk/media/5a7ec4b9e5274a2e87db1c92/additionality_guide_2014_full.pdf" TargetMode="External" Id="rId13"/><Relationship Type="http://schemas.openxmlformats.org/officeDocument/2006/relationships/hyperlink" Target="https://assets.publishing.service.gov.uk/media/5a7ec4b9e5274a2e87db1c92/additionality_guide_2014_full.pdf" TargetMode="External" Id="rId14"/><Relationship Type="http://schemas.openxmlformats.org/officeDocument/2006/relationships/hyperlink" Target="https://assets.publishing.service.gov.uk/media/5a7ec4b9e5274a2e87db1c92/additionality_guide_2014_full.pdf" TargetMode="External" Id="rId15"/><Relationship Type="http://schemas.openxmlformats.org/officeDocument/2006/relationships/hyperlink" Target="https://www.kirklees.gov.uk/beta/planning-policy/pdf/examination/national-evidence/NE48_employment_density_guide_3rd_edition.pdf" TargetMode="External" Id="rId16"/><Relationship Type="http://schemas.openxmlformats.org/officeDocument/2006/relationships/hyperlink" Target="https://www.kirklees.gov.uk/beta/planning-policy/pdf/examination/national-evidence/NE48_employment_density_guide_3rd_edition.pdf" TargetMode="External" Id="rId17"/><Relationship Type="http://schemas.openxmlformats.org/officeDocument/2006/relationships/hyperlink" Target="https://www.gov.uk/government/statistics/gdp-deflators-at-market-prices-and-money-gdp-september-2026-quarterly-national-accounts" TargetMode="External" Id="rId18"/><Relationship Type="http://schemas.openxmlformats.org/officeDocument/2006/relationships/hyperlink" Target="https://www.gov.uk/government/statistics/gdp-deflators-at-market-prices-and-money-gdp-september-2026-quarterly-national-accounts" TargetMode="External" Id="rId19"/><Relationship Type="http://schemas.openxmlformats.org/officeDocument/2006/relationships/hyperlink" Target="https://assets.publishing.service.gov.uk/media/5a7dbd4340f0b65d8b4e3357/cost_benefit_analysis_guidance_for_local_partnerships.pdf" TargetMode="External" Id="rId20"/><Relationship Type="http://schemas.openxmlformats.org/officeDocument/2006/relationships/hyperlink" Target="https://assets.publishing.service.gov.uk/media/698dbcd17da91680ad7f4308/The_Green_Book_2026.pdf" TargetMode="External" Id="rId21"/><Relationship Type="http://schemas.openxmlformats.org/officeDocument/2006/relationships/hyperlink" Target="https://assets.publishing.service.gov.uk/media/698f30a4492ea446ea7f43d3/Green_Book_supplementary_guidance_-_discounting.pdf" TargetMode="External" Id="rId22"/><Relationship Type="http://schemas.openxmlformats.org/officeDocument/2006/relationships/hyperlink" Target="https://assets.publishing.service.gov.uk/media/5a74dae740f0b65f61322c72/Optimism_bias.pdf" TargetMode="External" Id="rId23"/><Relationship Type="http://schemas.openxmlformats.org/officeDocument/2006/relationships/hyperlink" Target="https://assets.publishing.service.gov.uk/media/5a74dae740f0b65f61322c72/Optimism_bias.pdf" TargetMode="External" Id="rId24"/><Relationship Type="http://schemas.openxmlformats.org/officeDocument/2006/relationships/hyperlink" Target="https://assets.publishing.service.gov.uk/media/5a7dbd4340f0b65d8b4e3357/cost_benefit_analysis_guidance_for_local_partnerships.pdf" TargetMode="External" Id="rId25"/><Relationship Type="http://schemas.openxmlformats.org/officeDocument/2006/relationships/hyperlink" Target="https://assets.publishing.service.gov.uk/media/60fa9169d3bf7f0448719daf/Wellbeing_guidance_for_appraisal_-_supplementary_Green_Book_guidance.pdf" TargetMode="External" Id="rId26"/><Relationship Type="http://schemas.openxmlformats.org/officeDocument/2006/relationships/hyperlink" Target="https://assets.publishing.service.gov.uk/media/60fa9169d3bf7f0448719daf/Wellbeing_guidance_for_appraisal_-_supplementary_Green_Book_guidance.pdf" TargetMode="External" Id="rId27"/><Relationship Type="http://schemas.openxmlformats.org/officeDocument/2006/relationships/hyperlink" Target="https://assets.publishing.service.gov.uk/media/60fa9169d3bf7f0448719daf/Wellbeing_guidance_for_appraisal_-_supplementary_Green_Book_guidance.pdf" TargetMode="External" Id="rId28"/><Relationship Type="http://schemas.openxmlformats.org/officeDocument/2006/relationships/hyperlink" Target="https://assets.publishing.service.gov.uk/media/60fa9169d3bf7f0448719daf/Wellbeing_guidance_for_appraisal_-_supplementary_Green_Book_guidance.pdf" TargetMode="External" Id="rId29"/><Relationship Type="http://schemas.openxmlformats.org/officeDocument/2006/relationships/hyperlink" Target="https://assets.publishing.service.gov.uk/media/60fa9169d3bf7f0448719daf/Wellbeing_guidance_for_appraisal_-_supplementary_Green_Book_guidance.pdf" TargetMode="External" Id="rId30"/><Relationship Type="http://schemas.openxmlformats.org/officeDocument/2006/relationships/hyperlink" Target="https://www.gov.uk/government/publications/measuring-social-value-paper-8-measuring-the-placemaking-impacts-of-commercial-led-regeneration" TargetMode="External" Id="rId31"/><Relationship Type="http://schemas.openxmlformats.org/officeDocument/2006/relationships/hyperlink" Target="https://www.gov.uk/government/publications/the-mhclg-appraisal-guide/mhclg-appraisal-guide-technical-annex" TargetMode="External" Id="rId32"/><Relationship Type="http://schemas.openxmlformats.org/officeDocument/2006/relationships/hyperlink" Target="https://assets.publishing.service.gov.uk/media/696f5d772b64f0e8c32e3353/Main_MHCLG_Appraisal_Guide.pdf" TargetMode="External" Id="rId33"/><Relationship Type="http://schemas.openxmlformats.org/officeDocument/2006/relationships/hyperlink" Target="https://assets.publishing.service.gov.uk/media/696f5d772b64f0e8c32e3353/Main_MHCLG_Appraisal_Guide.pdf" TargetMode="External" Id="rId34"/><Relationship Type="http://schemas.openxmlformats.org/officeDocument/2006/relationships/hyperlink" Target="https://assets.publishing.service.gov.uk/media/6a55d47b2467584757371eb6/Towns_Fund_Evaluation_Value_for_Money_Annex.pdf" TargetMode="External" Id="rId35"/><Relationship Type="http://schemas.openxmlformats.org/officeDocument/2006/relationships/hyperlink" Target="https://assets.publishing.service.gov.uk/media/6a55d47b2467584757371eb6/Towns_Fund_Evaluation_Value_for_Money_Annex.pdf" TargetMode="External" Id="rId36"/><Relationship Type="http://schemas.openxmlformats.org/officeDocument/2006/relationships/hyperlink" Target="https://www.legislation.gov.uk/uksi/2024/323/made" TargetMode="External" Id="rId37"/><Relationship Type="http://schemas.openxmlformats.org/officeDocument/2006/relationships/hyperlink" Target="https://www.ons.gov.uk/businessindustryandtrade/business/businessservices/datasets/uknonfinancialbusinesseconomyannualbusinesssurveysectionsas" TargetMode="External" Id="rId38"/><Relationship Type="http://schemas.openxmlformats.org/officeDocument/2006/relationships/hyperlink" Target="https://www.nomisweb.co.uk/datasets/newbres6pub" TargetMode="External" Id="rId39"/><Relationship Type="http://schemas.openxmlformats.org/officeDocument/2006/relationships/hyperlink" Target="https://www.ons.gov.uk/businessindustryandtrade/business/activitysizeandlocation/datasets/businessdemographyreferencetable" TargetMode="External" Id="rId40"/><Relationship Type="http://schemas.openxmlformats.org/officeDocument/2006/relationships/hyperlink" Target="https://www.ons.gov.uk/economy/grossdomesticproductgdp/datasets/regionalgrossvalueaddedbalancedbyindustrylocalauthoritiesbyitl1region" TargetMode="External" Id="rId41"/><Relationship Type="http://schemas.openxmlformats.org/officeDocument/2006/relationships/hyperlink" Target="https://assets.publishing.service.gov.uk/media/5fb65741e90e0720929a03ce/Open_Doors_Evaluation_Report.pdf" TargetMode="External" Id="rId42"/><Relationship Type="http://schemas.openxmlformats.org/officeDocument/2006/relationships/hyperlink" Target="https://assets.publishing.service.gov.uk/media/5fb65741e90e0720929a03ce/Open_Doors_Evaluation_Report.pdf" TargetMode="External" Id="rId43"/></Relationships>
</file>

<file path=xl/worksheets/sheet1.xml><?xml version="1.0" encoding="utf-8"?>
<worksheet xmlns="http://schemas.openxmlformats.org/spreadsheetml/2006/main">
  <sheetPr>
    <outlinePr summaryBelow="1" summaryRight="1"/>
    <pageSetUpPr/>
  </sheetPr>
  <dimension ref="A1:A16"/>
  <sheetViews>
    <sheetView showGridLines="0" workbookViewId="0">
      <selection activeCell="A1" sqref="A1"/>
    </sheetView>
  </sheetViews>
  <sheetFormatPr baseColWidth="8" defaultRowHeight="15"/>
  <cols>
    <col width="110" customWidth="1" min="1" max="1"/>
  </cols>
  <sheetData>
    <row r="1">
      <c r="A1" s="1" t="inlineStr">
        <is>
          <t>Town Centre Activation Value Model</t>
        </is>
      </c>
    </row>
    <row r="3">
      <c r="A3" s="2" t="inlineStr">
        <is>
          <t>Version 0.1, 23 October 2026 (pre-Budget; revise after the 28 October 2026 Budget)</t>
        </is>
      </c>
    </row>
    <row r="4">
      <c r="A4" s="3" t="inlineStr">
        <is>
          <t>What It Does</t>
        </is>
      </c>
    </row>
    <row r="5">
      <c r="A5" s="4" t="inlineStr">
        <is>
          <t>Estimates the value of bringing a vacant town centre unit in Gateshead into meanwhile use, against the public money it needs. It follows the MHCLG Appraisal Guide (4th edition, February 2026) and the Green Book (2026): welfare-based benefit-cost ratios for Gateshead and for the UK, each with its value for money category, with local GVA, jobs and visitor spend reported as Gateshead indicators outside the ratios.</t>
        </is>
      </c>
    </row>
    <row r="6">
      <c r="A6" s="3" t="inlineStr">
        <is>
          <t>How to Use It</t>
        </is>
      </c>
    </row>
    <row r="7">
      <c r="A7" s="4" t="inlineStr">
        <is>
          <t>1. Enter up to five proposals on the Inputs sheet (yellow cells). One property and one use per column.</t>
        </is>
      </c>
    </row>
    <row r="8">
      <c r="A8" s="4" t="inlineStr">
        <is>
          <t>2. Pick the proposal to show in Settings. Results is the one-page summary, Sensitivity holds the switching values and Compare sets all five side by side.</t>
        </is>
      </c>
    </row>
    <row r="9">
      <c r="A9" s="4" t="inlineStr">
        <is>
          <t>3. Key in local reference data once on the Static Data sheet: STEAM spend per visit and the council's vacancy survey by centre.</t>
        </is>
      </c>
    </row>
    <row r="10">
      <c r="A10" s="4" t="inlineStr">
        <is>
          <t>4. Assumptions are protected. To use a better local figure, enter it in the Local override column with a reason; Results flags any override.</t>
        </is>
      </c>
    </row>
    <row r="11">
      <c r="A11" s="3" t="inlineStr">
        <is>
          <t>Reading the Results</t>
        </is>
      </c>
    </row>
    <row r="12">
      <c r="A12" s="4" t="inlineStr">
        <is>
          <t>Low takes the pessimistic end of every ranged assumption, high the optimistic end. Optimism bias follows the Treasury guidance: benefits are cut by up to 40% and costs raised by up to 51% according to the strength of the evidence. Evidence over five years old is graded 6, the weakest, as Treasury Table 7.B requires.</t>
        </is>
      </c>
    </row>
    <row r="13">
      <c r="A13" s="4" t="inlineStr">
        <is>
          <t>The chance of a commercial let anyway is netted off the benefits. With a break clause the meanwhile use ends if a tenant appears; without one it blocks the let, and the model assumes the blocked tenant would have brought similar jobs and visitors, and counts the rates it would have paid as lost public income. Costs are not reduced.</t>
        </is>
      </c>
    </row>
    <row r="14">
      <c r="A14" s="4" t="inlineStr">
        <is>
          <t>Meanwhile use is short and small, and most of its value is local and social, so the welfare ratios can be modest. The place scorecard and the Gateshead indicators carry the local effects the ratios leave out. The worked example in the demo file is hypothetical.</t>
        </is>
      </c>
    </row>
    <row r="15">
      <c r="A15" s="3" t="inlineStr">
        <is>
          <t>Status</t>
        </is>
      </c>
    </row>
    <row r="16">
      <c r="A16" s="4" t="inlineStr">
        <is>
          <t>Indicative appraisal, not a business case. Built on the register approved on 23 October 2026. To be revised after the 28 October 2026 Budget, which is expected to cut the Green Book discount rate to 3.0% and may bring a new GDP deflator file.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58" customWidth="1" min="2" max="2"/>
    <col width="22" customWidth="1" min="3" max="3"/>
    <col width="22" customWidth="1" min="4" max="4"/>
    <col width="22" customWidth="1" min="5" max="5"/>
    <col width="22" customWidth="1" min="6" max="6"/>
    <col width="22" customWidth="1" min="7" max="7"/>
    <col width="60" customWidth="1" min="8" max="8"/>
  </cols>
  <sheetData>
    <row r="1">
      <c r="A1" s="1" t="inlineStr">
        <is>
          <t>Inputs</t>
        </is>
      </c>
    </row>
    <row r="2">
      <c r="A2" s="5" t="inlineStr">
        <is>
          <t>Yellow cells are inputs. Up to five proposals, one property and one use each. Blank optional cells use the evidence default.</t>
        </is>
      </c>
    </row>
    <row r="4">
      <c r="B4" s="6" t="inlineStr">
        <is>
          <t>Input</t>
        </is>
      </c>
      <c r="C4" s="6" t="inlineStr">
        <is>
          <t>Proposal 1</t>
        </is>
      </c>
      <c r="D4" s="6" t="inlineStr">
        <is>
          <t>Proposal 2</t>
        </is>
      </c>
      <c r="E4" s="6" t="inlineStr">
        <is>
          <t>Proposal 3</t>
        </is>
      </c>
      <c r="F4" s="6" t="inlineStr">
        <is>
          <t>Proposal 4</t>
        </is>
      </c>
      <c r="G4" s="6" t="inlineStr">
        <is>
          <t>Proposal 5</t>
        </is>
      </c>
      <c r="H4" s="6" t="inlineStr">
        <is>
          <t>Guidance</t>
        </is>
      </c>
    </row>
    <row r="5">
      <c r="B5" s="7" t="inlineStr">
        <is>
          <t>Proposal</t>
        </is>
      </c>
      <c r="C5" s="8" t="n"/>
      <c r="D5" s="8" t="n"/>
      <c r="E5" s="8" t="n"/>
      <c r="F5" s="8" t="n"/>
      <c r="G5" s="8" t="n"/>
      <c r="H5" s="8" t="n"/>
    </row>
    <row r="6">
      <c r="B6" s="4" t="inlineStr">
        <is>
          <t>Proposal name</t>
        </is>
      </c>
      <c r="C6" s="9" t="n"/>
      <c r="D6" s="9" t="n"/>
      <c r="E6" s="9" t="n"/>
      <c r="F6" s="9" t="n"/>
      <c r="G6" s="9" t="n"/>
      <c r="H6" s="2" t="inlineStr">
        <is>
          <t>The worked example is hypothetical and describes no real unit</t>
        </is>
      </c>
    </row>
    <row r="7">
      <c r="B7" s="4" t="inlineStr">
        <is>
          <t>Centre</t>
        </is>
      </c>
      <c r="C7" s="9" t="n"/>
      <c r="D7" s="9" t="n"/>
      <c r="E7" s="9" t="n"/>
      <c r="F7" s="9" t="n"/>
      <c r="G7" s="9" t="n"/>
      <c r="H7" s="2" t="inlineStr">
        <is>
          <t>Local Plan Policy CS7. Metrocentre is outside the hierarchy</t>
        </is>
      </c>
    </row>
    <row r="8">
      <c r="B8" s="4" t="inlineStr">
        <is>
          <t>Centre tier (filled in automatically)</t>
        </is>
      </c>
      <c r="C8" s="10">
        <f>IFERROR(INDEX(L_Tier,MATCH(C7,L_Centres,0)),"")</f>
        <v/>
      </c>
      <c r="D8" s="10">
        <f>IFERROR(INDEX(L_Tier,MATCH(D7,L_Centres,0)),"")</f>
        <v/>
      </c>
      <c r="E8" s="10">
        <f>IFERROR(INDEX(L_Tier,MATCH(E7,L_Centres,0)),"")</f>
        <v/>
      </c>
      <c r="F8" s="10">
        <f>IFERROR(INDEX(L_Tier,MATCH(F7,L_Centres,0)),"")</f>
        <v/>
      </c>
      <c r="G8" s="10">
        <f>IFERROR(INDEX(L_Tier,MATCH(G7,L_Centres,0)),"")</f>
        <v/>
      </c>
      <c r="H8" s="2" t="inlineStr">
        <is>
          <t>Label and place scorecard only (Phase 1b decision 4)</t>
        </is>
      </c>
    </row>
    <row r="9">
      <c r="B9" s="4" t="inlineStr">
        <is>
          <t>Use</t>
        </is>
      </c>
      <c r="C9" s="9" t="n"/>
      <c r="D9" s="9" t="n"/>
      <c r="E9" s="9" t="n"/>
      <c r="F9" s="9" t="n"/>
      <c r="G9" s="9" t="n"/>
      <c r="H9" s="2" t="inlineStr">
        <is>
          <t>Health and wellbeing means activity-based uses; enter clinical services as a community hub with your own staffing</t>
        </is>
      </c>
    </row>
    <row r="10">
      <c r="B10" s="7" t="inlineStr">
        <is>
          <t>The property</t>
        </is>
      </c>
      <c r="C10" s="8" t="n"/>
      <c r="D10" s="8" t="n"/>
      <c r="E10" s="8" t="n"/>
      <c r="F10" s="8" t="n"/>
      <c r="G10" s="8" t="n"/>
      <c r="H10" s="8" t="n"/>
    </row>
    <row r="11">
      <c r="B11" s="4" t="inlineStr">
        <is>
          <t>Floor area (gross internal)</t>
        </is>
      </c>
      <c r="C11" s="11" t="n"/>
      <c r="D11" s="11" t="n"/>
      <c r="E11" s="11" t="n"/>
      <c r="F11" s="11" t="n"/>
      <c r="G11" s="11" t="n"/>
      <c r="H11" s="2" t="inlineStr"/>
    </row>
    <row r="12">
      <c r="B12" s="4" t="inlineStr">
        <is>
          <t>Floor area unit</t>
        </is>
      </c>
      <c r="C12" s="9" t="n"/>
      <c r="D12" s="9" t="n"/>
      <c r="E12" s="9" t="n"/>
      <c r="F12" s="9" t="n"/>
      <c r="G12" s="9" t="n"/>
      <c r="H12" s="2" t="inlineStr">
        <is>
          <t>Blank = sq ft</t>
        </is>
      </c>
    </row>
    <row r="13">
      <c r="B13" s="4" t="inlineStr">
        <is>
          <t>Rateable value (£)</t>
        </is>
      </c>
      <c r="C13" s="11" t="n"/>
      <c r="D13" s="11" t="n"/>
      <c r="E13" s="11" t="n"/>
      <c r="F13" s="11" t="n"/>
      <c r="G13" s="11" t="n"/>
      <c r="H13" s="2" t="inlineStr">
        <is>
          <t>From the free VOA 'Find a business rates valuation' service. Required: results stay blank without it</t>
        </is>
      </c>
    </row>
    <row r="14">
      <c r="B14" s="4" t="inlineStr">
        <is>
          <t>Listed building?</t>
        </is>
      </c>
      <c r="C14" s="9" t="n"/>
      <c r="D14" s="9" t="n"/>
      <c r="E14" s="9" t="n"/>
      <c r="F14" s="9" t="n"/>
      <c r="G14" s="9" t="n"/>
      <c r="H14" s="2" t="inlineStr">
        <is>
          <t>Listed empty buildings pay no empty rates</t>
        </is>
      </c>
    </row>
    <row r="15">
      <c r="B15" s="4" t="inlineStr">
        <is>
          <t>Owner</t>
        </is>
      </c>
      <c r="C15" s="9" t="n"/>
      <c r="D15" s="9" t="n"/>
      <c r="E15" s="9" t="n"/>
      <c r="F15" s="9" t="n"/>
      <c r="G15" s="9" t="n"/>
      <c r="H15" s="2" t="inlineStr"/>
    </row>
    <row r="16">
      <c r="B16" s="4" t="inlineStr">
        <is>
          <t>Book or market value if council-owned (£)</t>
        </is>
      </c>
      <c r="C16" s="11" t="n"/>
      <c r="D16" s="11" t="n"/>
      <c r="E16" s="11" t="n"/>
      <c r="F16" s="11" t="n"/>
      <c r="G16" s="11" t="n"/>
      <c r="H16" s="2" t="inlineStr">
        <is>
          <t>Used for the 2% holding cost only if no security cost is entered</t>
        </is>
      </c>
    </row>
    <row r="17">
      <c r="B17" s="4" t="inlineStr">
        <is>
          <t>Cost of keeping the unit empty, for security, inspection and maintenance (£ a year)</t>
        </is>
      </c>
      <c r="C17" s="11" t="n"/>
      <c r="D17" s="11" t="n"/>
      <c r="E17" s="11" t="n"/>
      <c r="F17" s="11" t="n"/>
      <c r="G17" s="11" t="n"/>
      <c r="H17" s="2" t="inlineStr">
        <is>
          <t>The council's own figure; no published benchmark exists</t>
        </is>
      </c>
    </row>
    <row r="18">
      <c r="B18" s="4" t="inlineStr">
        <is>
          <t>Chance the unit is let commercially anyway during the period (optional)</t>
        </is>
      </c>
      <c r="C18" s="12" t="n"/>
      <c r="D18" s="12" t="n"/>
      <c r="E18" s="12" t="n"/>
      <c r="F18" s="12" t="n"/>
      <c r="G18" s="12" t="n"/>
      <c r="H18" s="2" t="inlineStr">
        <is>
          <t>Blank = council vacancy survey for the centre (Static Data), else row B1</t>
        </is>
      </c>
    </row>
    <row r="19">
      <c r="B19" s="4" t="inlineStr">
        <is>
          <t>Can the landlord end the meanwhile lease for a commercial let?</t>
        </is>
      </c>
      <c r="C19" s="9" t="n"/>
      <c r="D19" s="9" t="n"/>
      <c r="E19" s="9" t="n"/>
      <c r="F19" s="9" t="n"/>
      <c r="G19" s="9" t="n"/>
      <c r="H19" s="2" t="inlineStr">
        <is>
          <t>Standard meanwhile leases allow this. Blank = Yes</t>
        </is>
      </c>
    </row>
    <row r="20">
      <c r="B20" s="7" t="inlineStr">
        <is>
          <t>The occupation</t>
        </is>
      </c>
      <c r="C20" s="8" t="n"/>
      <c r="D20" s="8" t="n"/>
      <c r="E20" s="8" t="n"/>
      <c r="F20" s="8" t="n"/>
      <c r="G20" s="8" t="n"/>
      <c r="H20" s="8" t="n"/>
    </row>
    <row r="21">
      <c r="B21" s="4" t="inlineStr">
        <is>
          <t>Occupation period (months, up to 60)</t>
        </is>
      </c>
      <c r="C21" s="11" t="n"/>
      <c r="D21" s="11" t="n"/>
      <c r="E21" s="11" t="n"/>
      <c r="F21" s="11" t="n"/>
      <c r="G21" s="11" t="n"/>
      <c r="H21" s="2" t="inlineStr">
        <is>
          <t>Required</t>
        </is>
      </c>
    </row>
    <row r="22">
      <c r="B22" s="4" t="inlineStr">
        <is>
          <t>Rent paid by the occupier or its users (£ a year)</t>
        </is>
      </c>
      <c r="C22" s="11" t="n"/>
      <c r="D22" s="11" t="n"/>
      <c r="E22" s="11" t="n"/>
      <c r="F22" s="11" t="n"/>
      <c r="G22" s="11" t="n"/>
      <c r="H22" s="2" t="inlineStr">
        <is>
          <t>The low value of the space (row V2)</t>
        </is>
      </c>
    </row>
    <row r="23">
      <c r="B23" s="4" t="inlineStr">
        <is>
          <t>Rent paid by the council to a private landlord (£ a year)</t>
        </is>
      </c>
      <c r="C23" s="11" t="n"/>
      <c r="D23" s="11" t="n"/>
      <c r="E23" s="11" t="n"/>
      <c r="F23" s="11" t="n"/>
      <c r="G23" s="11" t="n"/>
      <c r="H23" s="2" t="inlineStr">
        <is>
          <t>A transfer (row V4). Ignored where the council owns the unit</t>
        </is>
      </c>
    </row>
    <row r="24">
      <c r="B24" s="4" t="inlineStr">
        <is>
          <t>Occupier type for business rates</t>
        </is>
      </c>
      <c r="C24" s="9" t="n"/>
      <c r="D24" s="9" t="n"/>
      <c r="E24" s="9" t="n"/>
      <c r="F24" s="9" t="n"/>
      <c r="G24" s="9" t="n"/>
      <c r="H24" s="2" t="inlineStr"/>
    </row>
    <row r="25">
      <c r="B25" s="4" t="inlineStr">
        <is>
          <t>Eligible for the retail, hospitality and leisure multiplier?</t>
        </is>
      </c>
      <c r="C25" s="9" t="n"/>
      <c r="D25" s="9" t="n"/>
      <c r="E25" s="9" t="n"/>
      <c r="F25" s="9" t="n"/>
      <c r="G25" s="9" t="n"/>
      <c r="H25" s="2" t="inlineStr"/>
    </row>
    <row r="26">
      <c r="B26" s="4" t="inlineStr">
        <is>
          <t>Discretionary relief on the remaining bill</t>
        </is>
      </c>
      <c r="C26" s="12" t="n"/>
      <c r="D26" s="12" t="n"/>
      <c r="E26" s="12" t="n"/>
      <c r="F26" s="12" t="n"/>
      <c r="G26" s="12" t="n"/>
      <c r="H26" s="2" t="inlineStr">
        <is>
          <t>100% = no rates paid</t>
        </is>
      </c>
    </row>
    <row r="27">
      <c r="B27" s="7" t="inlineStr">
        <is>
          <t>Public costs</t>
        </is>
      </c>
      <c r="C27" s="8" t="n"/>
      <c r="D27" s="8" t="n"/>
      <c r="E27" s="8" t="n"/>
      <c r="F27" s="8" t="n"/>
      <c r="G27" s="8" t="n"/>
      <c r="H27" s="8" t="n"/>
    </row>
    <row r="28">
      <c r="B28" s="4" t="inlineStr">
        <is>
          <t>Fit-out and works, capital, at the start (£)</t>
        </is>
      </c>
      <c r="C28" s="11" t="n"/>
      <c r="D28" s="11" t="n"/>
      <c r="E28" s="11" t="n"/>
      <c r="F28" s="11" t="n"/>
      <c r="G28" s="11" t="n"/>
      <c r="H28" s="2" t="inlineStr">
        <is>
          <t>Optimism bias +51% at proposal stage (row C7)</t>
        </is>
      </c>
    </row>
    <row r="29">
      <c r="B29" s="4" t="inlineStr">
        <is>
          <t>Share of optimism bias risk factors mitigated so far</t>
        </is>
      </c>
      <c r="C29" s="12" t="n"/>
      <c r="D29" s="12" t="n"/>
      <c r="E29" s="12" t="n"/>
      <c r="F29" s="12" t="n"/>
      <c r="G29" s="12" t="n"/>
      <c r="H29" s="2" t="inlineStr">
        <is>
          <t>0% at proposal stage; steps the fit-out uplift from 51% towards 4%</t>
        </is>
      </c>
    </row>
    <row r="30">
      <c r="B30" s="4" t="inlineStr">
        <is>
          <t>Operator or management contract (£ a year)</t>
        </is>
      </c>
      <c r="C30" s="11" t="n"/>
      <c r="D30" s="11" t="n"/>
      <c r="E30" s="11" t="n"/>
      <c r="F30" s="11" t="n"/>
      <c r="G30" s="11" t="n"/>
      <c r="H30" s="2" t="inlineStr">
        <is>
          <t>Optimism bias +41% (row C8)</t>
        </is>
      </c>
    </row>
    <row r="31">
      <c r="B31" s="4" t="inlineStr">
        <is>
          <t>Utilities, insurance and other running costs (£ a year)</t>
        </is>
      </c>
      <c r="C31" s="11" t="n"/>
      <c r="D31" s="11" t="n"/>
      <c r="E31" s="11" t="n"/>
      <c r="F31" s="11" t="n"/>
      <c r="G31" s="11" t="n"/>
      <c r="H31" s="2" t="inlineStr"/>
    </row>
    <row r="32">
      <c r="B32" s="4" t="inlineStr">
        <is>
          <t>Monitoring and evaluation (£ a year)</t>
        </is>
      </c>
      <c r="C32" s="11" t="n"/>
      <c r="D32" s="11" t="n"/>
      <c r="E32" s="11" t="n"/>
      <c r="F32" s="11" t="n"/>
      <c r="G32" s="11" t="n"/>
      <c r="H32" s="2" t="inlineStr">
        <is>
          <t>Green Book 10.8</t>
        </is>
      </c>
    </row>
    <row r="33">
      <c r="B33" s="4" t="inlineStr">
        <is>
          <t>Evidence behind the running and monitoring costs</t>
        </is>
      </c>
      <c r="C33" s="9" t="n"/>
      <c r="D33" s="9" t="n"/>
      <c r="E33" s="9" t="n"/>
      <c r="F33" s="9" t="n"/>
      <c r="G33" s="9" t="n"/>
      <c r="H33" s="2" t="inlineStr">
        <is>
          <t>Treasury Table 7.A; sets their optimism bias. Blank = 4</t>
        </is>
      </c>
    </row>
    <row r="34">
      <c r="B34" s="4" t="inlineStr">
        <is>
          <t>Council share of capital cost</t>
        </is>
      </c>
      <c r="C34" s="12" t="n"/>
      <c r="D34" s="12" t="n"/>
      <c r="E34" s="12" t="n"/>
      <c r="F34" s="12" t="n"/>
      <c r="G34" s="12" t="n"/>
      <c r="H34" s="2" t="inlineStr">
        <is>
          <t>The rest from Pride in Place, UKSPF, NEMSA or other funders</t>
        </is>
      </c>
    </row>
    <row r="35">
      <c r="B35" s="4" t="inlineStr">
        <is>
          <t>Council share of revenue costs</t>
        </is>
      </c>
      <c r="C35" s="12" t="n"/>
      <c r="D35" s="12" t="n"/>
      <c r="E35" s="12" t="n"/>
      <c r="F35" s="12" t="n"/>
      <c r="G35" s="12" t="n"/>
      <c r="H35" s="2" t="inlineStr"/>
    </row>
    <row r="36">
      <c r="B36" s="7" t="inlineStr">
        <is>
          <t>Activity</t>
        </is>
      </c>
      <c r="C36" s="8" t="n"/>
      <c r="D36" s="8" t="n"/>
      <c r="E36" s="8" t="n"/>
      <c r="F36" s="8" t="n"/>
      <c r="G36" s="8" t="n"/>
      <c r="H36" s="8" t="n"/>
    </row>
    <row r="37">
      <c r="B37" s="4" t="inlineStr">
        <is>
          <t>Staffing, FTE (optional)</t>
        </is>
      </c>
      <c r="C37" s="11" t="n"/>
      <c r="D37" s="11" t="n"/>
      <c r="E37" s="11" t="n"/>
      <c r="F37" s="11" t="n"/>
      <c r="G37" s="11" t="n"/>
      <c r="H37" s="2" t="inlineStr">
        <is>
          <t>Blank = estimate from floor area</t>
        </is>
      </c>
    </row>
    <row r="38">
      <c r="B38" s="4" t="inlineStr">
        <is>
          <t>or full-time staff (headcount)</t>
        </is>
      </c>
      <c r="C38" s="11" t="n"/>
      <c r="D38" s="11" t="n"/>
      <c r="E38" s="11" t="n"/>
      <c r="F38" s="11" t="n"/>
      <c r="G38" s="11" t="n"/>
      <c r="H38" s="2" t="inlineStr"/>
    </row>
    <row r="39">
      <c r="B39" s="4" t="inlineStr">
        <is>
          <t>and part-time staff (headcount)</t>
        </is>
      </c>
      <c r="C39" s="11" t="n"/>
      <c r="D39" s="11" t="n"/>
      <c r="E39" s="11" t="n"/>
      <c r="F39" s="11" t="n"/>
      <c r="G39" s="11" t="n"/>
      <c r="H39" s="2" t="inlineStr">
        <is>
          <t>2 part-time = 1 FTE</t>
        </is>
      </c>
    </row>
    <row r="40">
      <c r="B40" s="4" t="inlineStr">
        <is>
          <t>Share of the space in use against a fully used unit (optional)</t>
        </is>
      </c>
      <c r="C40" s="12" t="n"/>
      <c r="D40" s="12" t="n"/>
      <c r="E40" s="12" t="n"/>
      <c r="F40" s="12" t="n"/>
      <c r="G40" s="12" t="n"/>
      <c r="H40" s="2" t="inlineStr">
        <is>
          <t>Blank = row J9</t>
        </is>
      </c>
    </row>
    <row r="41">
      <c r="B41" s="4" t="inlineStr">
        <is>
          <t>Regular volunteers who would not otherwise volunteer (average number)</t>
        </is>
      </c>
      <c r="C41" s="11" t="n"/>
      <c r="D41" s="11" t="n"/>
      <c r="E41" s="11" t="n"/>
      <c r="F41" s="11" t="n"/>
      <c r="G41" s="11" t="n"/>
      <c r="H41" s="2" t="inlineStr"/>
    </row>
    <row r="42">
      <c r="B42" s="4" t="inlineStr">
        <is>
          <t>Regular participants who would not otherwise take part (weekly or more)</t>
        </is>
      </c>
      <c r="C42" s="11" t="n"/>
      <c r="D42" s="11" t="n"/>
      <c r="E42" s="11" t="n"/>
      <c r="F42" s="11" t="n"/>
      <c r="G42" s="11" t="n"/>
      <c r="H42" s="2" t="inlineStr">
        <is>
          <t>Not one-off visitors</t>
        </is>
      </c>
    </row>
    <row r="43">
      <c r="B43" s="4" t="inlineStr">
        <is>
          <t>Main participant group</t>
        </is>
      </c>
      <c r="C43" s="9" t="n"/>
      <c r="D43" s="9" t="n"/>
      <c r="E43" s="9" t="n"/>
      <c r="F43" s="9" t="n"/>
      <c r="G43" s="9" t="n"/>
      <c r="H43" s="2" t="inlineStr">
        <is>
          <t>Blank = adults 30-49, weekly cultural attendance</t>
        </is>
      </c>
    </row>
    <row r="44">
      <c r="B44" s="4" t="inlineStr">
        <is>
          <t>Jobs filled by previously unemployed Gateshead residents (optional)</t>
        </is>
      </c>
      <c r="C44" s="11" t="n"/>
      <c r="D44" s="11" t="n"/>
      <c r="E44" s="11" t="n"/>
      <c r="F44" s="11" t="n"/>
      <c r="G44" s="11" t="n"/>
      <c r="H44" s="2" t="inlineStr">
        <is>
          <t>Blank = estimate (row S3)</t>
        </is>
      </c>
    </row>
    <row r="45">
      <c r="B45" s="4" t="inlineStr">
        <is>
          <t>Visitors a week</t>
        </is>
      </c>
      <c r="C45" s="11" t="n"/>
      <c r="D45" s="11" t="n"/>
      <c r="E45" s="11" t="n"/>
      <c r="F45" s="11" t="n"/>
      <c r="G45" s="11" t="n"/>
      <c r="H45" s="2" t="inlineStr">
        <is>
          <t>Only their spend elsewhere in the centre counts (row D1)</t>
        </is>
      </c>
    </row>
    <row r="46">
      <c r="B46" s="4" t="inlineStr">
        <is>
          <t>Share of their extra spend going on food and drink</t>
        </is>
      </c>
      <c r="C46" s="12" t="n"/>
      <c r="D46" s="12" t="n"/>
      <c r="E46" s="12" t="n"/>
      <c r="F46" s="12" t="n"/>
      <c r="G46" s="12" t="n"/>
      <c r="H46" s="2" t="inlineStr"/>
    </row>
    <row r="47">
      <c r="B47" s="4" t="inlineStr">
        <is>
          <t>Share of visits that are new trips to the centre (optional)</t>
        </is>
      </c>
      <c r="C47" s="12" t="n"/>
      <c r="D47" s="12" t="n"/>
      <c r="E47" s="12" t="n"/>
      <c r="F47" s="12" t="n"/>
      <c r="G47" s="12" t="n"/>
      <c r="H47" s="2" t="inlineStr">
        <is>
          <t>Blank = row X4</t>
        </is>
      </c>
    </row>
    <row r="48">
      <c r="B48" s="4" t="inlineStr">
        <is>
          <t>Start-up businesses hosted</t>
        </is>
      </c>
      <c r="C48" s="11" t="n"/>
      <c r="D48" s="11" t="n"/>
      <c r="E48" s="11" t="n"/>
      <c r="F48" s="11" t="n"/>
      <c r="G48" s="11" t="n"/>
      <c r="H48" s="2" t="inlineStr"/>
    </row>
    <row r="49">
      <c r="B49" s="4" t="inlineStr">
        <is>
          <t>All businesses or groups hosted</t>
        </is>
      </c>
      <c r="C49" s="11" t="n"/>
      <c r="D49" s="11" t="n"/>
      <c r="E49" s="11" t="n"/>
      <c r="F49" s="11" t="n"/>
      <c r="G49" s="11" t="n"/>
      <c r="H49" s="2" t="inlineStr"/>
    </row>
    <row r="50">
      <c r="B50" s="4" t="inlineStr">
        <is>
          <t>Learners</t>
        </is>
      </c>
      <c r="C50" s="11" t="n"/>
      <c r="D50" s="11" t="n"/>
      <c r="E50" s="11" t="n"/>
      <c r="F50" s="11" t="n"/>
      <c r="G50" s="11" t="n"/>
      <c r="H50" s="2" t="inlineStr"/>
    </row>
    <row r="51">
      <c r="B51" s="4" t="inlineStr">
        <is>
          <t>Accredited Level 2 qualifications achieved</t>
        </is>
      </c>
      <c r="C51" s="11" t="n"/>
      <c r="D51" s="11" t="n"/>
      <c r="E51" s="11" t="n"/>
      <c r="F51" s="11" t="n"/>
      <c r="G51" s="11" t="n"/>
      <c r="H51" s="2" t="inlineStr">
        <is>
          <t>Sensitivity sheet only</t>
        </is>
      </c>
    </row>
    <row r="52">
      <c r="B52" s="4" t="inlineStr">
        <is>
          <t>Accredited Level 3 qualifications achieved</t>
        </is>
      </c>
      <c r="C52" s="11" t="n"/>
      <c r="D52" s="11" t="n"/>
      <c r="E52" s="11" t="n"/>
      <c r="F52" s="11" t="n"/>
      <c r="G52" s="11" t="n"/>
      <c r="H52" s="2" t="inlineStr">
        <is>
          <t>Sensitivity sheet only</t>
        </is>
      </c>
    </row>
    <row r="53">
      <c r="B53" s="4" t="inlineStr">
        <is>
          <t>Chance of a permanent let afterwards that would not otherwise happen (optional)</t>
        </is>
      </c>
      <c r="C53" s="12" t="n"/>
      <c r="D53" s="12" t="n"/>
      <c r="E53" s="12" t="n"/>
      <c r="F53" s="12" t="n"/>
      <c r="G53" s="12" t="n"/>
      <c r="H53" s="2" t="inlineStr">
        <is>
          <t>Used only if the legacy switch in Settings is Yes (row L3: no robust evidence). Enter it net of any let that would happen later anyway</t>
        </is>
      </c>
    </row>
    <row r="55">
      <c r="B55" s="7" t="inlineStr">
        <is>
          <t>Place scorecard (MHCLG seven-point scale, Table 2). Score each line and give a short reason</t>
        </is>
      </c>
      <c r="C55" s="8" t="n"/>
      <c r="D55" s="8" t="n"/>
      <c r="E55" s="8" t="n"/>
      <c r="F55" s="8" t="n"/>
      <c r="G55" s="8" t="n"/>
      <c r="H55" s="8" t="n"/>
    </row>
    <row r="56">
      <c r="B56" s="13" t="inlineStr">
        <is>
          <t>Frontage activated</t>
        </is>
      </c>
      <c r="C56" s="9" t="n"/>
      <c r="D56" s="9" t="n"/>
      <c r="E56" s="9" t="n"/>
      <c r="F56" s="9" t="n"/>
      <c r="G56" s="9" t="n"/>
    </row>
    <row r="57">
      <c r="B57" s="5" t="inlineStr">
        <is>
          <t xml:space="preserve">   reason</t>
        </is>
      </c>
      <c r="C57" s="14" t="n"/>
      <c r="D57" s="14" t="n"/>
      <c r="E57" s="14" t="n"/>
      <c r="F57" s="14" t="n"/>
      <c r="G57" s="14" t="n"/>
    </row>
    <row r="58">
      <c r="B58" s="13" t="inlineStr">
        <is>
          <t>Daytime activity and footfall</t>
        </is>
      </c>
      <c r="C58" s="9" t="n"/>
      <c r="D58" s="9" t="n"/>
      <c r="E58" s="9" t="n"/>
      <c r="F58" s="9" t="n"/>
      <c r="G58" s="9" t="n"/>
    </row>
    <row r="59">
      <c r="B59" s="5" t="inlineStr">
        <is>
          <t xml:space="preserve">   reason</t>
        </is>
      </c>
      <c r="C59" s="14" t="n"/>
      <c r="D59" s="14" t="n"/>
      <c r="E59" s="14" t="n"/>
      <c r="F59" s="14" t="n"/>
      <c r="G59" s="14" t="n"/>
    </row>
    <row r="60">
      <c r="B60" s="13" t="inlineStr">
        <is>
          <t>Evening activity</t>
        </is>
      </c>
      <c r="C60" s="9" t="n"/>
      <c r="D60" s="9" t="n"/>
      <c r="E60" s="9" t="n"/>
      <c r="F60" s="9" t="n"/>
      <c r="G60" s="9" t="n"/>
    </row>
    <row r="61">
      <c r="B61" s="5" t="inlineStr">
        <is>
          <t xml:space="preserve">   reason</t>
        </is>
      </c>
      <c r="C61" s="14" t="n"/>
      <c r="D61" s="14" t="n"/>
      <c r="E61" s="14" t="n"/>
      <c r="F61" s="14" t="n"/>
      <c r="G61" s="14" t="n"/>
    </row>
    <row r="62">
      <c r="B62" s="13" t="inlineStr">
        <is>
          <t>Community use and inclusion</t>
        </is>
      </c>
      <c r="C62" s="9" t="n"/>
      <c r="D62" s="9" t="n"/>
      <c r="E62" s="9" t="n"/>
      <c r="F62" s="9" t="n"/>
      <c r="G62" s="9" t="n"/>
    </row>
    <row r="63">
      <c r="B63" s="5" t="inlineStr">
        <is>
          <t xml:space="preserve">   reason</t>
        </is>
      </c>
      <c r="C63" s="14" t="n"/>
      <c r="D63" s="14" t="n"/>
      <c r="E63" s="14" t="n"/>
      <c r="F63" s="14" t="n"/>
      <c r="G63" s="14" t="n"/>
    </row>
    <row r="64">
      <c r="B64" s="13" t="inlineStr">
        <is>
          <t>Perception, safety and antisocial behaviour</t>
        </is>
      </c>
      <c r="C64" s="9" t="n"/>
      <c r="D64" s="9" t="n"/>
      <c r="E64" s="9" t="n"/>
      <c r="F64" s="9" t="n"/>
      <c r="G64" s="9" t="n"/>
    </row>
    <row r="65">
      <c r="B65" s="5" t="inlineStr">
        <is>
          <t xml:space="preserve">   reason</t>
        </is>
      </c>
      <c r="C65" s="14" t="n"/>
      <c r="D65" s="14" t="n"/>
      <c r="E65" s="14" t="n"/>
      <c r="F65" s="14" t="n"/>
      <c r="G65" s="14" t="n"/>
    </row>
    <row r="66">
      <c r="B66" s="13" t="inlineStr">
        <is>
          <t>Fit with the centre's strategy</t>
        </is>
      </c>
      <c r="C66" s="9" t="n"/>
      <c r="D66" s="9" t="n"/>
      <c r="E66" s="9" t="n"/>
      <c r="F66" s="9" t="n"/>
      <c r="G66" s="9" t="n"/>
    </row>
    <row r="67">
      <c r="B67" s="5" t="inlineStr">
        <is>
          <t xml:space="preserve">   reason</t>
        </is>
      </c>
      <c r="C67" s="14" t="n"/>
      <c r="D67" s="14" t="n"/>
      <c r="E67" s="14" t="n"/>
      <c r="F67" s="14" t="n"/>
      <c r="G67" s="14" t="n"/>
    </row>
  </sheetData>
  <dataValidations count="10">
    <dataValidation sqref="C7 D7 E7 F7 G7" showDropDown="0" showInputMessage="0" showErrorMessage="0" allowBlank="1" type="list">
      <formula1>=L_Centres</formula1>
    </dataValidation>
    <dataValidation sqref="C9 D9 E9 F9 G9" showDropDown="0" showInputMessage="0" showErrorMessage="0" allowBlank="1" type="list">
      <formula1>=L_Uses</formula1>
    </dataValidation>
    <dataValidation sqref="C12 D12 E12 F12 G12" showDropDown="0" showInputMessage="0" showErrorMessage="0" allowBlank="1" type="list">
      <formula1>=L_AreaUnit</formula1>
    </dataValidation>
    <dataValidation sqref="C14 C19 C25 D14 D19 D25 E14 E19 E25 F14 F19 F25 G14 G19 G25" showDropDown="0" showInputMessage="0" showErrorMessage="0" allowBlank="1" type="list">
      <formula1>=L_YesNo</formula1>
    </dataValidation>
    <dataValidation sqref="C15 D15 E15 F15 G15" showDropDown="0" showInputMessage="0" showErrorMessage="0" allowBlank="1" type="list">
      <formula1>=L_Owner</formula1>
    </dataValidation>
    <dataValidation sqref="C24 D24 E24 F24 G24" showDropDown="0" showInputMessage="0" showErrorMessage="0" allowBlank="1" type="list">
      <formula1>=L_Occupier</formula1>
    </dataValidation>
    <dataValidation sqref="C33 D33 E33 F33 G33" showDropDown="0" showInputMessage="0" showErrorMessage="0" allowBlank="1" type="list">
      <formula1>=L_CostGrade</formula1>
    </dataValidation>
    <dataValidation sqref="C43 D43 E43 F43 G43" showDropDown="0" showInputMessage="0" showErrorMessage="0" allowBlank="1" type="list">
      <formula1>=L_Group</formula1>
    </dataValidation>
    <dataValidation sqref="C56 C58 C60 C62 C64 C66 D56 D58 D60 D62 D64 D66 E56 E58 E60 E62 E64 E66 F56 F58 F60 F62 F64 F66 G56 G58 G60 G62 G64 G66" showDropDown="0" showInputMessage="0" showErrorMessage="0" allowBlank="1" type="list">
      <formula1>=L_Scale</formula1>
    </dataValidation>
    <dataValidation sqref="C21:G21" showDropDown="0" showInputMessage="0" showErrorMessage="1" allowBlank="1" error="The model covers occupations of up to 60 months" type="decimal" operator="between">
      <formula1>0</formula1>
      <formula2>60</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F77"/>
  <sheetViews>
    <sheetView showGridLines="0" workbookViewId="0">
      <selection activeCell="A1" sqref="A1"/>
    </sheetView>
  </sheetViews>
  <sheetFormatPr baseColWidth="8" defaultRowHeight="15"/>
  <cols>
    <col width="34" customWidth="1" min="1" max="1"/>
    <col width="16" customWidth="1" min="2" max="2"/>
    <col width="16" customWidth="1" min="3" max="3"/>
    <col width="16" customWidth="1" min="4" max="4"/>
    <col width="16" customWidth="1" min="5" max="5"/>
    <col width="30" customWidth="1" min="6" max="6"/>
  </cols>
  <sheetData>
    <row r="1">
      <c r="A1" s="1" t="inlineStr">
        <is>
          <t>Results</t>
        </is>
      </c>
    </row>
    <row r="2">
      <c r="A2" s="15">
        <f>IF(INDEX(Calculations!$D$6:$R$6,1,(Settings!$B$5-1)*3+2)=1,"Proposal "&amp;Settings!$B$5&amp;IF(INDEX(Inputs!$C$6:$G$6,1,Settings!$B$5)="","",", "&amp;INDEX(Inputs!$C$6:$G$6,1,Settings!$B$5))&amp;" ("&amp;INDEX(Inputs!$C$9:$G$9,1,Settings!$B$5)&amp;IF(INDEX(Inputs!$C$7:$G$7,1,Settings!$B$5)="","",", "&amp;INDEX(Inputs!$C$7:$G$7,1,Settings!$B$5))&amp;", "&amp;TEXT(INDEX(Inputs!$C$21:$G$21,1,Settings!$B$5),"0")&amp;" months)","Proposal "&amp;Settings!$B$5&amp;" has no results yet. Enter at least the use, the occupation period and the rateable value on the Inputs sheet")</f>
        <v/>
      </c>
    </row>
    <row r="3">
      <c r="A3" s="5" t="inlineStr">
        <is>
          <t>Version 0.1, 23 October 2026 (pre-Budget; revise after the 28 October 2026 Budget). Indicative appraisal following the MHCLG Appraisal Guide (2026), not a business case.</t>
        </is>
      </c>
    </row>
    <row r="5">
      <c r="A5" s="6" t="inlineStr">
        <is>
          <t>Value for Money</t>
        </is>
      </c>
      <c r="B5" s="6" t="inlineStr">
        <is>
          <t>Gateshead</t>
        </is>
      </c>
      <c r="C5" s="6" t="inlineStr">
        <is>
          <t>UK</t>
        </is>
      </c>
    </row>
    <row r="6">
      <c r="A6" s="13" t="inlineStr">
        <is>
          <t>Category (central)</t>
        </is>
      </c>
      <c r="B6" s="16">
        <f>IFERROR(INDEX(Calculations!$D$111:$R$111,1,(Settings!$B$5-1)*3+2),"")</f>
        <v/>
      </c>
      <c r="C6" s="16">
        <f>IFERROR(INDEX(Calculations!$D$116:$R$116,1,(Settings!$B$5-1)*3+2),"")</f>
        <v/>
      </c>
    </row>
    <row r="7">
      <c r="A7" s="13" t="inlineStr">
        <is>
          <t>Category range (low to high)</t>
        </is>
      </c>
      <c r="B7">
        <f>INDEX(Calculations!$D$111:$R$111,1,(Settings!$B$5-1)*3+1)&amp;" to "&amp;INDEX(Calculations!$D$111:$R$111,1,(Settings!$B$5-1)*3+3)</f>
        <v/>
      </c>
      <c r="C7">
        <f>INDEX(Calculations!$D$116:$R$116,1,(Settings!$B$5-1)*3+1)&amp;" to "&amp;INDEX(Calculations!$D$116:$R$116,1,(Settings!$B$5-1)*3+3)</f>
        <v/>
      </c>
    </row>
    <row r="8">
      <c r="A8" s="13" t="inlineStr">
        <is>
          <t>Benefit-cost ratio, central</t>
        </is>
      </c>
      <c r="B8" s="17">
        <f>IFERROR(INDEX(Calculations!$D$107:$R$107,1,(Settings!$B$5-1)*3+2),"")</f>
        <v/>
      </c>
      <c r="C8" s="17">
        <f>IFERROR(INDEX(Calculations!$D$112:$R$112,1,(Settings!$B$5-1)*3+2),"")</f>
        <v/>
      </c>
    </row>
    <row r="9">
      <c r="A9" s="13" t="inlineStr">
        <is>
          <t>Benefit-cost ratio, low</t>
        </is>
      </c>
      <c r="B9" s="17">
        <f>IFERROR(INDEX(Calculations!$D$107:$R$107,1,(Settings!$B$5-1)*3+1),"")</f>
        <v/>
      </c>
      <c r="C9" s="17">
        <f>IFERROR(INDEX(Calculations!$D$112:$R$112,1,(Settings!$B$5-1)*3+1),"")</f>
        <v/>
      </c>
    </row>
    <row r="10">
      <c r="A10" s="13" t="inlineStr">
        <is>
          <t>Benefit-cost ratio, high</t>
        </is>
      </c>
      <c r="B10" s="17">
        <f>IFERROR(INDEX(Calculations!$D$107:$R$107,1,(Settings!$B$5-1)*3+3),"")</f>
        <v/>
      </c>
      <c r="C10" s="17">
        <f>IFERROR(INDEX(Calculations!$D$112:$R$112,1,(Settings!$B$5-1)*3+3),"")</f>
        <v/>
      </c>
    </row>
    <row r="11">
      <c r="A11" s="13" t="inlineStr">
        <is>
          <t>Present value of benefits</t>
        </is>
      </c>
      <c r="B11" s="18">
        <f>IFERROR(INDEX(Calculations!$D$102:$R$102,1,(Settings!$B$5-1)*3+2),"")</f>
        <v/>
      </c>
      <c r="C11" s="18">
        <f>IFERROR(INDEX(Calculations!$D$103:$R$103,1,(Settings!$B$5-1)*3+2),"")</f>
        <v/>
      </c>
      <c r="D11" s="5">
        <f>IFERROR("Rest of UK: "&amp;TEXT(INDEX(Calculations!$D$104:$R$104,1,(Settings!$B$5-1)*3+2),"£#,##0"),"")</f>
        <v/>
      </c>
    </row>
    <row r="12">
      <c r="A12" s="13" t="inlineStr">
        <is>
          <t>Benefit-cost ratio without the offsetting transfers</t>
        </is>
      </c>
      <c r="B12" s="17">
        <f>IFERROR(INDEX(Calculations!$D$108:$R$108,1,(Settings!$B$5-1)*3+2),"")</f>
        <v/>
      </c>
      <c r="C12" s="17">
        <f>IFERROR(INDEX(Calculations!$D$113:$R$113,1,(Settings!$B$5-1)*3+2),"")</f>
        <v/>
      </c>
    </row>
    <row r="13">
      <c r="A13" s="13" t="inlineStr">
        <is>
          <t>Net public cost</t>
        </is>
      </c>
      <c r="B13" s="18">
        <f>IFERROR(INDEX(Calculations!$D$91:$R$91,1,(Settings!$B$5-1)*3+2),"")</f>
        <v/>
      </c>
      <c r="C13" s="18">
        <f>IFERROR(INDEX(Calculations!$D$91:$R$91,1,(Settings!$B$5-1)*3+2),"")</f>
        <v/>
      </c>
    </row>
    <row r="14">
      <c r="A14" s="13" t="inlineStr">
        <is>
          <t>Net present social value</t>
        </is>
      </c>
      <c r="B14" s="18">
        <f>IFERROR(INDEX(Calculations!$D$110:$R$110,1,(Settings!$B$5-1)*3+2),"")</f>
        <v/>
      </c>
      <c r="C14" s="18">
        <f>IFERROR(INDEX(Calculations!$D$115:$R$115,1,(Settings!$B$5-1)*3+2),"")</f>
        <v/>
      </c>
    </row>
    <row r="15">
      <c r="A15" s="13" t="inlineStr">
        <is>
          <t>Robustness of the analysis</t>
        </is>
      </c>
      <c r="B15" s="13">
        <f>IFERROR(INDEX(Calculations!$D$118:$R$118,1,(Settings!$B$5-1)*3+2),"")</f>
        <v/>
      </c>
      <c r="C15" s="13">
        <f>IFERROR(INDEX(Calculations!$D$118:$R$118,1,(Settings!$B$5-1)*3+2),"")</f>
        <v/>
      </c>
    </row>
    <row r="17">
      <c r="A17" s="15" t="inlineStr">
        <is>
          <t>Value for Money Statement</t>
        </is>
      </c>
    </row>
    <row r="18" ht="30" customHeight="1">
      <c r="A18" s="19">
        <f>IF(INDEX(Calculations!$D$6:$R$6,1,(Settings!$B$5-1)*3+2)&lt;&gt;1,"","On central assumptions the proposal returns £"&amp;TEXT(INDEX(Calculations!$D$107:$R$107,1,(Settings!$B$5-1)*3+2),"0.00")&amp;" of benefits in Gateshead for each £1 of net public cost, including offsetting transfers such as rates relief (£"&amp;TEXT(INDEX(Calculations!$D$108:$R$108,1,(Settings!$B$5-1)*3+2),"0.00")&amp;" without them), which is "&amp;INDEX(Calculations!$D$111:$R$111,1,(Settings!$B$5-1)*3+2)&amp;" value for money, and £"&amp;TEXT(INDEX(Calculations!$D$112:$R$112,1,(Settings!$B$5-1)*3+2),"0.00")&amp;" across the UK ("&amp;INDEX(Calculations!$D$116:$R$116,1,(Settings!$B$5-1)*3+2)&amp;"). "&amp;IF(INDEX(Calculations!$D$111:$R$111,1,(Settings!$B$5-1)*3+1)=INDEX(Calculations!$D$111:$R$111,1,(Settings!$B$5-1)*3+3),"The Gateshead category is "&amp;INDEX(Calculations!$D$111:$R$111,1,(Settings!$B$5-1)*3+1)&amp;" in every scenario.","Across the low and high scenarios the Gateshead category runs from "&amp;INDEX(Calculations!$D$111:$R$111,1,(Settings!$B$5-1)*3+1)&amp;" to "&amp;INDEX(Calculations!$D$111:$R$111,1,(Settings!$B$5-1)*3+3)&amp;".")&amp;" The analysis is "&amp;LOWER(INDEX(Calculations!$D$118:$R$118,1,(Settings!$B$5-1)*3+2))&amp;" in robustness because the weakest evidence behind the benefits is grade "&amp;INDEX(Calculations!$D$117:$R$117,1,(Settings!$B$5-1)*3+2)&amp;" on the Treasury scale. Local output and jobs are reported below as Gateshead indicators and are not in the ratios, as the Green Book requires.")</f>
        <v/>
      </c>
    </row>
    <row r="19"/>
    <row r="20"/>
    <row r="21"/>
    <row r="23">
      <c r="A23" s="6" t="inlineStr">
        <is>
          <t>Benefits and Costs (central, present value)</t>
        </is>
      </c>
      <c r="B23" s="6" t="inlineStr">
        <is>
          <t>Gateshead</t>
        </is>
      </c>
      <c r="C23" s="6" t="inlineStr">
        <is>
          <t>UK</t>
        </is>
      </c>
      <c r="D23" s="6" t="inlineStr">
        <is>
          <t>Grade</t>
        </is>
      </c>
    </row>
    <row r="24">
      <c r="A24" s="13" t="inlineStr">
        <is>
          <t>Value of the space</t>
        </is>
      </c>
      <c r="B24" s="20">
        <f>IFERROR(INDEX(Calculations!$D$53:$R$53,1,(Settings!$B$5-1)*3+2)*INDEX(Calculations!$D$95:$R$95,1,(Settings!$B$5-1)*3+2),"")</f>
        <v/>
      </c>
      <c r="C24" s="20">
        <f>IFERROR(INDEX(Calculations!$D$53:$R$53,1,(Settings!$B$5-1)*3+2)*INDEX(Calculations!$D$95:$R$95,1,(Settings!$B$5-1)*3+2),"")</f>
        <v/>
      </c>
      <c r="D24">
        <f>IFERROR(INDEX(Calculations!$D$52:$R$52,1,(Settings!$B$5-1)*3+2),"")</f>
        <v/>
      </c>
      <c r="E24" s="5">
        <f>IFERROR(IF(INDEX(Calculations!$D$95:$R$95,1,(Settings!$B$5-1)*3+2)=0,"Outside the ratio (range rule): value "&amp;TEXT(INDEX(Calculations!$D$53:$R$53,1,(Settings!$B$5-1)*3+2),"£#,##0"),""),"")</f>
        <v/>
      </c>
    </row>
    <row r="25">
      <c r="A25" s="13" t="inlineStr">
        <is>
          <t>Volunteering</t>
        </is>
      </c>
      <c r="B25" s="20">
        <f>IFERROR(INDEX(Calculations!$D$56:$R$56,1,(Settings!$B$5-1)*3+2)*INDEX(Calculations!$D$96:$R$96,1,(Settings!$B$5-1)*3+2),"")</f>
        <v/>
      </c>
      <c r="C25" s="20">
        <f>IFERROR(INDEX(Calculations!$D$56:$R$56,1,(Settings!$B$5-1)*3+2)*INDEX(Calculations!$D$96:$R$96,1,(Settings!$B$5-1)*3+2),"")</f>
        <v/>
      </c>
      <c r="E25" s="5">
        <f>IFERROR(IF(INDEX(Calculations!$D$96:$R$96,1,(Settings!$B$5-1)*3+2)=0,"Outside the ratio (range rule): value "&amp;TEXT(INDEX(Calculations!$D$56:$R$56,1,(Settings!$B$5-1)*3+2),"£#,##0"),""),"")</f>
        <v/>
      </c>
    </row>
    <row r="26">
      <c r="A26" s="13" t="inlineStr">
        <is>
          <t>Regular participation</t>
        </is>
      </c>
      <c r="B26" s="20">
        <f>IFERROR(INDEX(Calculations!$D$59:$R$59,1,(Settings!$B$5-1)*3+2)*INDEX(Calculations!$D$97:$R$97,1,(Settings!$B$5-1)*3+2),"")</f>
        <v/>
      </c>
      <c r="C26" s="20">
        <f>IFERROR(INDEX(Calculations!$D$59:$R$59,1,(Settings!$B$5-1)*3+2)*INDEX(Calculations!$D$97:$R$97,1,(Settings!$B$5-1)*3+2),"")</f>
        <v/>
      </c>
      <c r="E26" s="5">
        <f>IFERROR(IF(INDEX(Calculations!$D$97:$R$97,1,(Settings!$B$5-1)*3+2)=0,"Outside the ratio (range rule): value "&amp;TEXT(INDEX(Calculations!$D$59:$R$59,1,(Settings!$B$5-1)*3+2),"£#,##0"),""),"")</f>
        <v/>
      </c>
    </row>
    <row r="27">
      <c r="A27" s="13" t="inlineStr">
        <is>
          <t>Employment wellbeing</t>
        </is>
      </c>
      <c r="B27" s="20">
        <f>IFERROR(INDEX(Calculations!$D$63:$R$63,1,(Settings!$B$5-1)*3+2)*INDEX(Calculations!$D$98:$R$98,1,(Settings!$B$5-1)*3+2),"")</f>
        <v/>
      </c>
      <c r="C27" s="20">
        <f>IFERROR(IF(Settings!$B$8="Yes",INDEX(Calculations!$D$63:$R$63,1,(Settings!$B$5-1)*3+2)*INDEX(Calculations!$D$98:$R$98,1,(Settings!$B$5-1)*3+2),0),"")</f>
        <v/>
      </c>
      <c r="D27">
        <f>IFERROR(INDEX(Calculations!$D$61:$R$61,1,(Settings!$B$5-1)*3+2),"")</f>
        <v/>
      </c>
      <c r="E27" s="5">
        <f>IFERROR(IF(INDEX(Calculations!$D$98:$R$98,1,(Settings!$B$5-1)*3+2)=0,"Outside the ratio (range rule): value "&amp;TEXT(INDEX(Calculations!$D$63:$R$63,1,(Settings!$B$5-1)*3+2),"£#,##0"),""),"")</f>
        <v/>
      </c>
    </row>
    <row r="28">
      <c r="A28" s="13" t="inlineStr">
        <is>
          <t>Avoided empty-unit costs</t>
        </is>
      </c>
      <c r="B28" s="20">
        <f>IFERROR(INDEX(Calculations!$D$66:$R$66,1,(Settings!$B$5-1)*3+2)*INDEX(Calculations!$D$99:$R$99,1,(Settings!$B$5-1)*3+2),"")</f>
        <v/>
      </c>
      <c r="C28" s="20">
        <f>IFERROR(INDEX(Calculations!$D$66:$R$66,1,(Settings!$B$5-1)*3+2)*INDEX(Calculations!$D$99:$R$99,1,(Settings!$B$5-1)*3+2),"")</f>
        <v/>
      </c>
      <c r="D28">
        <f>IFERROR(INDEX(Calculations!$D$65:$R$65,1,(Settings!$B$5-1)*3+2),"")</f>
        <v/>
      </c>
      <c r="E28" s="5">
        <f>IFERROR(IF(INDEX(Calculations!$D$99:$R$99,1,(Settings!$B$5-1)*3+2)=0,"Outside the ratio (range rule): value "&amp;TEXT(INDEX(Calculations!$D$66:$R$66,1,(Settings!$B$5-1)*3+2),"£#,##0"),""),"")</f>
        <v/>
      </c>
    </row>
    <row r="29">
      <c r="A29" s="13" t="inlineStr">
        <is>
          <t>Legacy of a permanent let (if switched on)</t>
        </is>
      </c>
      <c r="B29" s="20">
        <f>IFERROR(INDEX(Calculations!$D$68:$R$68,1,(Settings!$B$5-1)*3+2)*INDEX(Calculations!$D$100:$R$100,1,(Settings!$B$5-1)*3+2)*IF(Settings!$B$9="Yes",1,0),"")</f>
        <v/>
      </c>
      <c r="C29" s="20">
        <f>IFERROR(INDEX(Calculations!$D$68:$R$68,1,(Settings!$B$5-1)*3+2)*INDEX(Calculations!$D$100:$R$100,1,(Settings!$B$5-1)*3+2)*IF(Settings!$B$9="Yes",1,0),"")</f>
        <v/>
      </c>
      <c r="E29" s="5">
        <f>IFERROR(IF(INDEX(Calculations!$D$100:$R$100,1,(Settings!$B$5-1)*3+2)=0,"Outside the ratio (range rule): value "&amp;TEXT(INDEX(Calculations!$D$68:$R$68,1,(Settings!$B$5-1)*3+2),"£#,##0"),""),"")</f>
        <v/>
      </c>
    </row>
    <row r="30">
      <c r="A30" s="13" t="inlineStr">
        <is>
          <t>Transfers (offsetting)</t>
        </is>
      </c>
      <c r="B30" s="20">
        <f>IFERROR(INDEX(Calculations!$D$80:$R$80,1,(Settings!$B$5-1)*3+2),"")</f>
        <v/>
      </c>
      <c r="C30" s="20">
        <f>IFERROR(INDEX(Calculations!$D$80:$R$80,1,(Settings!$B$5-1)*3+2),"")</f>
        <v/>
      </c>
    </row>
    <row r="31">
      <c r="A31" s="13" t="inlineStr">
        <is>
          <t>Fit-out</t>
        </is>
      </c>
      <c r="B31" s="20">
        <f>IFERROR(INDEX(Calculations!$D$83:$R$83,1,(Settings!$B$5-1)*3+2),"")</f>
        <v/>
      </c>
      <c r="C31" s="20">
        <f>IFERROR(INDEX(Calculations!$D$83:$R$83,1,(Settings!$B$5-1)*3+2),"")</f>
        <v/>
      </c>
    </row>
    <row r="32">
      <c r="A32" s="13" t="inlineStr">
        <is>
          <t>Operator contract</t>
        </is>
      </c>
      <c r="B32" s="20">
        <f>IFERROR(INDEX(Calculations!$D$84:$R$84,1,(Settings!$B$5-1)*3+2),"")</f>
        <v/>
      </c>
      <c r="C32" s="20">
        <f>IFERROR(INDEX(Calculations!$D$84:$R$84,1,(Settings!$B$5-1)*3+2),"")</f>
        <v/>
      </c>
    </row>
    <row r="33">
      <c r="A33" s="13" t="inlineStr">
        <is>
          <t>Running costs</t>
        </is>
      </c>
      <c r="B33" s="20">
        <f>IFERROR(INDEX(Calculations!$D$86:$R$86,1,(Settings!$B$5-1)*3+2),"")</f>
        <v/>
      </c>
      <c r="C33" s="20">
        <f>IFERROR(INDEX(Calculations!$D$86:$R$86,1,(Settings!$B$5-1)*3+2),"")</f>
        <v/>
      </c>
    </row>
    <row r="34">
      <c r="A34" s="13" t="inlineStr">
        <is>
          <t>Monitoring and evaluation</t>
        </is>
      </c>
      <c r="B34" s="20">
        <f>IFERROR(INDEX(Calculations!$D$87:$R$87,1,(Settings!$B$5-1)*3+2),"")</f>
        <v/>
      </c>
      <c r="C34" s="20">
        <f>IFERROR(INDEX(Calculations!$D$87:$R$87,1,(Settings!$B$5-1)*3+2),"")</f>
        <v/>
      </c>
    </row>
    <row r="35">
      <c r="A35" s="13" t="inlineStr">
        <is>
          <t>Rent to the landlord</t>
        </is>
      </c>
      <c r="B35" s="20">
        <f>IFERROR(INDEX(Calculations!$D$88:$R$88,1,(Settings!$B$5-1)*3+2),"")</f>
        <v/>
      </c>
      <c r="C35" s="20">
        <f>IFERROR(INDEX(Calculations!$D$88:$R$88,1,(Settings!$B$5-1)*3+2),"")</f>
        <v/>
      </c>
    </row>
    <row r="36">
      <c r="A36" s="13" t="inlineStr">
        <is>
          <t>Rates income forgone</t>
        </is>
      </c>
      <c r="B36" s="20">
        <f>IFERROR(INDEX(Calculations!$D$89:$R$89,1,(Settings!$B$5-1)*3+2),"")</f>
        <v/>
      </c>
      <c r="C36" s="20">
        <f>IFERROR(INDEX(Calculations!$D$89:$R$89,1,(Settings!$B$5-1)*3+2),"")</f>
        <v/>
      </c>
    </row>
    <row r="37">
      <c r="A37" s="13" t="inlineStr">
        <is>
          <t>Avoided council costs</t>
        </is>
      </c>
      <c r="B37" s="20">
        <f>IFERROR(INDEX(Calculations!$D$90:$R$90,1,(Settings!$B$5-1)*3+2),"")</f>
        <v/>
      </c>
      <c r="C37" s="20">
        <f>IFERROR(INDEX(Calculations!$D$90:$R$90,1,(Settings!$B$5-1)*3+2),"")</f>
        <v/>
      </c>
    </row>
    <row r="38">
      <c r="A38" s="16" t="inlineStr">
        <is>
          <t>Net public cost</t>
        </is>
      </c>
      <c r="B38" s="20">
        <f>IFERROR(INDEX(Calculations!$D$91:$R$91,1,(Settings!$B$5-1)*3+2),"")</f>
        <v/>
      </c>
      <c r="C38" s="20">
        <f>IFERROR(INDEX(Calculations!$D$91:$R$91,1,(Settings!$B$5-1)*3+2),"")</f>
        <v/>
      </c>
    </row>
    <row r="39">
      <c r="A39" s="13" t="inlineStr">
        <is>
          <t>Council share of cash and contract costs (excludes rates)</t>
        </is>
      </c>
      <c r="B39" s="20">
        <f>IFERROR(INDEX(Calculations!$D$93:$R$93,1,(Settings!$B$5-1)*3+2),"")</f>
        <v/>
      </c>
      <c r="C39" s="20" t="inlineStr"/>
    </row>
    <row r="40">
      <c r="A40" s="13" t="inlineStr">
        <is>
          <t>Cash budget (nominal)</t>
        </is>
      </c>
      <c r="B40" s="20">
        <f>IFERROR(INDEX(Calculations!$D$92:$R$92,1,(Settings!$B$5-1)*3+2),"")</f>
        <v/>
      </c>
      <c r="C40" s="20">
        <f>IFERROR(INDEX(Calculations!$D$92:$R$92,1,(Settings!$B$5-1)*3+2),"")</f>
        <v/>
      </c>
    </row>
    <row r="42">
      <c r="A42" s="6" t="inlineStr">
        <is>
          <t>Business as Usual (the unit stays empty), central</t>
        </is>
      </c>
      <c r="B42" s="6" t="inlineStr">
        <is>
          <t>Value</t>
        </is>
      </c>
    </row>
    <row r="43">
      <c r="A43" s="13" t="inlineStr">
        <is>
          <t>Chance of a commercial let anyway during the period</t>
        </is>
      </c>
      <c r="B43" s="21">
        <f>IFERROR(INDEX(Calculations!$D$22:$R$22,1,(Settings!$B$5-1)*3+2),"")</f>
        <v/>
      </c>
    </row>
    <row r="44">
      <c r="A44" s="13" t="inlineStr">
        <is>
          <t>Empty rates paid by a private owner (£ a year)</t>
        </is>
      </c>
      <c r="B44" s="20">
        <f>IFERROR(INDEX(Calculations!$D$75:$R$75,1,(Settings!$B$5-1)*3+2),"")</f>
        <v/>
      </c>
    </row>
    <row r="45">
      <c r="A45" s="13" t="inlineStr">
        <is>
          <t>Cost of keeping the unit empty (£ a year, before a let anyway)</t>
        </is>
      </c>
      <c r="B45" s="20">
        <f>IFERROR(IF(INDEX(Calculations!$D$25:$R$25,1,(Settings!$B$5-1)*3+2)&gt;0,INDEX(Calculations!$D$64:$R$64,1,(Settings!$B$5-1)*3+2)/INDEX(Calculations!$D$25:$R$25,1,(Settings!$B$5-1)*3+2),0),"")</f>
        <v/>
      </c>
    </row>
    <row r="46">
      <c r="A46" s="13" t="inlineStr">
        <is>
          <t>Rates bill a commercial tenant would pay (£ a year)</t>
        </is>
      </c>
      <c r="B46" s="20">
        <f>IFERROR(INDEX(Calculations!$D$71:$R$71,1,(Settings!$B$5-1)*3+2),"")</f>
        <v/>
      </c>
    </row>
    <row r="48">
      <c r="A48" s="6" t="inlineStr">
        <is>
          <t>Gateshead Indicators (outside the ratios)</t>
        </is>
      </c>
      <c r="B48" s="6" t="inlineStr">
        <is>
          <t>Low</t>
        </is>
      </c>
      <c r="C48" s="6" t="inlineStr">
        <is>
          <t>Central</t>
        </is>
      </c>
      <c r="D48" s="6" t="inlineStr">
        <is>
          <t>High</t>
        </is>
      </c>
    </row>
    <row r="49">
      <c r="A49" s="13" t="inlineStr">
        <is>
          <t>Gross FTE while open</t>
        </is>
      </c>
      <c r="B49" s="22">
        <f>IFERROR(INDEX(Calculations!$D$35:$R$35,1,(Settings!$B$5-1)*3+1),"")</f>
        <v/>
      </c>
      <c r="C49" s="22">
        <f>IFERROR(INDEX(Calculations!$D$35:$R$35,1,(Settings!$B$5-1)*3+2),"")</f>
        <v/>
      </c>
      <c r="D49" s="22">
        <f>IFERROR(INDEX(Calculations!$D$35:$R$35,1,(Settings!$B$5-1)*3+3),"")</f>
        <v/>
      </c>
    </row>
    <row r="50">
      <c r="A50" s="13" t="inlineStr">
        <is>
          <t>Net FTE, Gateshead</t>
        </is>
      </c>
      <c r="B50" s="22">
        <f>IFERROR(INDEX(Calculations!$D$38:$R$38,1,(Settings!$B$5-1)*3+1),"")</f>
        <v/>
      </c>
      <c r="C50" s="22">
        <f>IFERROR(INDEX(Calculations!$D$38:$R$38,1,(Settings!$B$5-1)*3+2),"")</f>
        <v/>
      </c>
      <c r="D50" s="22">
        <f>IFERROR(INDEX(Calculations!$D$38:$R$38,1,(Settings!$B$5-1)*3+3),"")</f>
        <v/>
      </c>
    </row>
    <row r="51">
      <c r="A51" s="13" t="inlineStr">
        <is>
          <t>Net FTE, NEMSA</t>
        </is>
      </c>
      <c r="B51" s="22">
        <f>IFERROR(INDEX(Calculations!$D$40:$R$40,1,(Settings!$B$5-1)*3+1),"")</f>
        <v/>
      </c>
      <c r="C51" s="22">
        <f>IFERROR(INDEX(Calculations!$D$40:$R$40,1,(Settings!$B$5-1)*3+2),"")</f>
        <v/>
      </c>
      <c r="D51" s="22">
        <f>IFERROR(INDEX(Calculations!$D$40:$R$40,1,(Settings!$B$5-1)*3+3),"")</f>
        <v/>
      </c>
    </row>
    <row r="52">
      <c r="A52" s="13" t="inlineStr">
        <is>
          <t>Net FTE, UK</t>
        </is>
      </c>
      <c r="B52" s="22">
        <f>IFERROR(INDEX(Calculations!$D$41:$R$41,1,(Settings!$B$5-1)*3+1),"")</f>
        <v/>
      </c>
      <c r="C52" s="22">
        <f>IFERROR(INDEX(Calculations!$D$41:$R$41,1,(Settings!$B$5-1)*3+2),"")</f>
        <v/>
      </c>
      <c r="D52" s="22">
        <f>IFERROR(INDEX(Calculations!$D$41:$R$41,1,(Settings!$B$5-1)*3+3),"")</f>
        <v/>
      </c>
    </row>
    <row r="53">
      <c r="A53" s="13" t="inlineStr">
        <is>
          <t>GVA supported in Gateshead (present value)</t>
        </is>
      </c>
      <c r="B53" s="20">
        <f>IFERROR(INDEX(Calculations!$D$44:$R$44,1,(Settings!$B$5-1)*3+1),"")</f>
        <v/>
      </c>
      <c r="C53" s="20">
        <f>IFERROR(INDEX(Calculations!$D$44:$R$44,1,(Settings!$B$5-1)*3+2),"")</f>
        <v/>
      </c>
      <c r="D53" s="20">
        <f>IFERROR(INDEX(Calculations!$D$44:$R$44,1,(Settings!$B$5-1)*3+3),"")</f>
        <v/>
      </c>
    </row>
    <row r="54">
      <c r="A54" s="13" t="inlineStr">
        <is>
          <t>GVA from extra visitor spend (present value)</t>
        </is>
      </c>
      <c r="B54" s="20">
        <f>IFERROR(INDEX(Calculations!$D$124:$R$124,1,(Settings!$B$5-1)*3+1),"")</f>
        <v/>
      </c>
      <c r="C54" s="20">
        <f>IFERROR(INDEX(Calculations!$D$124:$R$124,1,(Settings!$B$5-1)*3+2),"")</f>
        <v/>
      </c>
      <c r="D54" s="20">
        <f>IFERROR(INDEX(Calculations!$D$124:$R$124,1,(Settings!$B$5-1)*3+3),"")</f>
        <v/>
      </c>
    </row>
    <row r="55">
      <c r="A55" s="13" t="inlineStr">
        <is>
          <t>Start-ups surviving one year</t>
        </is>
      </c>
      <c r="B55" s="22">
        <f>IFERROR(INDEX(Calculations!$D$125:$R$125,1,(Settings!$B$5-1)*3+1),"")</f>
        <v/>
      </c>
      <c r="C55" s="22">
        <f>IFERROR(INDEX(Calculations!$D$125:$R$125,1,(Settings!$B$5-1)*3+2),"")</f>
        <v/>
      </c>
      <c r="D55" s="22">
        <f>IFERROR(INDEX(Calculations!$D$125:$R$125,1,(Settings!$B$5-1)*3+3),"")</f>
        <v/>
      </c>
    </row>
    <row r="56">
      <c r="A56" s="13" t="inlineStr">
        <is>
          <t>Start-ups surviving three years</t>
        </is>
      </c>
      <c r="B56" s="22">
        <f>IFERROR(INDEX(Calculations!$D$126:$R$126,1,(Settings!$B$5-1)*3+1),"")</f>
        <v/>
      </c>
      <c r="C56" s="22">
        <f>IFERROR(INDEX(Calculations!$D$126:$R$126,1,(Settings!$B$5-1)*3+2),"")</f>
        <v/>
      </c>
      <c r="D56" s="22">
        <f>IFERROR(INDEX(Calculations!$D$126:$R$126,1,(Settings!$B$5-1)*3+3),"")</f>
        <v/>
      </c>
    </row>
    <row r="57">
      <c r="A57" s="13" t="inlineStr">
        <is>
          <t>ONS average FTE per local unit in this industry</t>
        </is>
      </c>
      <c r="B57" s="22">
        <f>IFERROR(INDEX(Calculations!$D$34:$R$34,1,(Settings!$B$5-1)*3+1),"")</f>
        <v/>
      </c>
      <c r="C57" s="22">
        <f>IFERROR(INDEX(Calculations!$D$34:$R$34,1,(Settings!$B$5-1)*3+2),"")</f>
        <v/>
      </c>
      <c r="D57" s="22">
        <f>IFERROR(INDEX(Calculations!$D$34:$R$34,1,(Settings!$B$5-1)*3+3),"")</f>
        <v/>
      </c>
    </row>
    <row r="58">
      <c r="A58" s="13" t="inlineStr">
        <is>
          <t>Gross FTE per business or group hosted</t>
        </is>
      </c>
      <c r="B58" s="22">
        <f>IFERROR(INDEX(Calculations!$D$45:$R$45,1,(Settings!$B$5-1)*3+1),"")</f>
        <v/>
      </c>
      <c r="C58" s="22">
        <f>IFERROR(INDEX(Calculations!$D$45:$R$45,1,(Settings!$B$5-1)*3+2),"")</f>
        <v/>
      </c>
      <c r="D58" s="22">
        <f>IFERROR(INDEX(Calculations!$D$45:$R$45,1,(Settings!$B$5-1)*3+3),"")</f>
        <v/>
      </c>
    </row>
    <row r="59">
      <c r="A59" s="13" t="inlineStr">
        <is>
          <t>Businesses or groups hosted (count)</t>
        </is>
      </c>
      <c r="C59" s="23">
        <f>N(INDEX(Inputs!$C$49:$G$49,1,Settings!$B$5))</f>
        <v/>
      </c>
    </row>
    <row r="60">
      <c r="A60" s="13" t="inlineStr">
        <is>
          <t>Learners (count)</t>
        </is>
      </c>
      <c r="C60" s="23">
        <f>N(INDEX(Inputs!$C$50:$G$50,1,Settings!$B$5))</f>
        <v/>
      </c>
    </row>
    <row r="61">
      <c r="A61" s="13" t="inlineStr">
        <is>
          <t>Regular volunteers (count)</t>
        </is>
      </c>
      <c r="C61" s="23">
        <f>N(INDEX(Inputs!$C$41:$G$41,1,Settings!$B$5))</f>
        <v/>
      </c>
    </row>
    <row r="62">
      <c r="A62" s="13" t="inlineStr">
        <is>
          <t>Regular participants (count)</t>
        </is>
      </c>
      <c r="C62" s="23">
        <f>N(INDEX(Inputs!$C$42:$G$42,1,Settings!$B$5))</f>
        <v/>
      </c>
    </row>
    <row r="63">
      <c r="A63" s="24">
        <f>IFERROR(IF(INDEX(Calculations!$D$45:$R$45,1,(Settings!$B$5-1)*3+2)&gt;2*INDEX(Calculations!$D$34:$R$34,1,(Settings!$B$5-1)*3+2),"Check this estimate. FTE per business hosted is more than twice the ONS average for this industry; enter your own staffing if you have it",""),"")</f>
        <v/>
      </c>
    </row>
    <row r="65">
      <c r="A65" s="6" t="inlineStr">
        <is>
          <t>Place Scorecard (MHCLG seven-point scale)</t>
        </is>
      </c>
      <c r="B65" s="6" t="inlineStr">
        <is>
          <t>Score</t>
        </is>
      </c>
      <c r="C65" s="6" t="inlineStr"/>
      <c r="D65" s="6" t="inlineStr"/>
      <c r="E65" s="6" t="inlineStr"/>
      <c r="F65" s="6" t="inlineStr">
        <is>
          <t>Reason</t>
        </is>
      </c>
    </row>
    <row r="66">
      <c r="A66" s="13" t="inlineStr">
        <is>
          <t>Frontage activated</t>
        </is>
      </c>
      <c r="B66">
        <f>IF(INDEX(Inputs!$C$56:$G$56,1,Settings!$B$5)="","Not scored",INDEX(Inputs!$C$56:$G$56,1,Settings!$B$5))</f>
        <v/>
      </c>
      <c r="F66" s="19">
        <f>IF(INDEX(Inputs!$C$57:$G$57,1,Settings!$B$5)="","",INDEX(Inputs!$C$57:$G$57,1,Settings!$B$5))</f>
        <v/>
      </c>
    </row>
    <row r="67">
      <c r="A67" s="13" t="inlineStr">
        <is>
          <t>Daytime activity and footfall</t>
        </is>
      </c>
      <c r="B67">
        <f>IF(INDEX(Inputs!$C$58:$G$58,1,Settings!$B$5)="","Not scored",INDEX(Inputs!$C$58:$G$58,1,Settings!$B$5))</f>
        <v/>
      </c>
      <c r="F67" s="19">
        <f>IF(INDEX(Inputs!$C$59:$G$59,1,Settings!$B$5)="","",INDEX(Inputs!$C$59:$G$59,1,Settings!$B$5))</f>
        <v/>
      </c>
    </row>
    <row r="68">
      <c r="A68" s="13" t="inlineStr">
        <is>
          <t>Evening activity</t>
        </is>
      </c>
      <c r="B68">
        <f>IF(INDEX(Inputs!$C$60:$G$60,1,Settings!$B$5)="","Not scored",INDEX(Inputs!$C$60:$G$60,1,Settings!$B$5))</f>
        <v/>
      </c>
      <c r="F68" s="19">
        <f>IF(INDEX(Inputs!$C$61:$G$61,1,Settings!$B$5)="","",INDEX(Inputs!$C$61:$G$61,1,Settings!$B$5))</f>
        <v/>
      </c>
    </row>
    <row r="69">
      <c r="A69" s="13" t="inlineStr">
        <is>
          <t>Community use and inclusion</t>
        </is>
      </c>
      <c r="B69">
        <f>IF(INDEX(Inputs!$C$62:$G$62,1,Settings!$B$5)="","Not scored",INDEX(Inputs!$C$62:$G$62,1,Settings!$B$5))</f>
        <v/>
      </c>
      <c r="F69" s="19">
        <f>IF(INDEX(Inputs!$C$63:$G$63,1,Settings!$B$5)="","",INDEX(Inputs!$C$63:$G$63,1,Settings!$B$5))</f>
        <v/>
      </c>
    </row>
    <row r="70">
      <c r="A70" s="13" t="inlineStr">
        <is>
          <t>Perception, safety and antisocial behaviour</t>
        </is>
      </c>
      <c r="B70">
        <f>IF(INDEX(Inputs!$C$64:$G$64,1,Settings!$B$5)="","Not scored",INDEX(Inputs!$C$64:$G$64,1,Settings!$B$5))</f>
        <v/>
      </c>
      <c r="F70" s="19">
        <f>IF(INDEX(Inputs!$C$65:$G$65,1,Settings!$B$5)="","",INDEX(Inputs!$C$65:$G$65,1,Settings!$B$5))</f>
        <v/>
      </c>
    </row>
    <row r="71">
      <c r="A71" s="13" t="inlineStr">
        <is>
          <t>Fit with the centre's strategy</t>
        </is>
      </c>
      <c r="B71">
        <f>IF(INDEX(Inputs!$C$66:$G$66,1,Settings!$B$5)="","Not scored",INDEX(Inputs!$C$66:$G$66,1,Settings!$B$5))</f>
        <v/>
      </c>
      <c r="F71" s="19">
        <f>IF(INDEX(Inputs!$C$67:$G$67,1,Settings!$B$5)="","",INDEX(Inputs!$C$67:$G$67,1,Settings!$B$5))</f>
        <v/>
      </c>
    </row>
    <row r="73">
      <c r="A73" s="5">
        <f>IF(COUNTA(Assumptions!K5:K200)&gt;0,COUNTA(Assumptions!K5:K200)&amp;" assumption(s) overridden locally: see the Assumptions sheet","No local overrides of the register")</f>
        <v/>
      </c>
    </row>
    <row r="75">
      <c r="A75" s="6" t="inlineStr">
        <is>
          <t>Chart data</t>
        </is>
      </c>
      <c r="B75" s="6" t="inlineStr">
        <is>
          <t>Central</t>
        </is>
      </c>
      <c r="C75" s="6" t="inlineStr">
        <is>
          <t>Minus</t>
        </is>
      </c>
      <c r="D75" s="6" t="inlineStr">
        <is>
          <t>Plus</t>
        </is>
      </c>
    </row>
    <row r="76">
      <c r="A76" s="13" t="inlineStr">
        <is>
          <t>Gateshead</t>
        </is>
      </c>
      <c r="B76">
        <f>IFERROR(INDEX(Calculations!$D$107:$R$107,1,(Settings!$B$5-1)*3+2),0)</f>
        <v/>
      </c>
      <c r="C76">
        <f>IFERROR(INDEX(Calculations!$D$107:$R$107,1,(Settings!$B$5-1)*3+2)-INDEX(Calculations!$D$107:$R$107,1,(Settings!$B$5-1)*3+1),0)</f>
        <v/>
      </c>
      <c r="D76">
        <f>IFERROR(INDEX(Calculations!$D$107:$R$107,1,(Settings!$B$5-1)*3+3)-INDEX(Calculations!$D$107:$R$107,1,(Settings!$B$5-1)*3+2),0)</f>
        <v/>
      </c>
    </row>
    <row r="77">
      <c r="A77" s="13" t="inlineStr">
        <is>
          <t>UK</t>
        </is>
      </c>
      <c r="B77">
        <f>IFERROR(INDEX(Calculations!$D$112:$R$112,1,(Settings!$B$5-1)*3+2),0)</f>
        <v/>
      </c>
      <c r="C77">
        <f>IFERROR(INDEX(Calculations!$D$112:$R$112,1,(Settings!$B$5-1)*3+2)-INDEX(Calculations!$D$112:$R$112,1,(Settings!$B$5-1)*3+1),0)</f>
        <v/>
      </c>
      <c r="D77">
        <f>IFERROR(INDEX(Calculations!$D$112:$R$112,1,(Settings!$B$5-1)*3+3)-INDEX(Calculations!$D$112:$R$112,1,(Settings!$B$5-1)*3+2),0)</f>
        <v/>
      </c>
    </row>
  </sheetData>
  <mergeCells count="1">
    <mergeCell ref="A18:F21"/>
  </mergeCells>
  <pageMargins left="0.75" right="0.75" top="1" bottom="1" header="0.5" footer="0.5"/>
  <pageSetup paperSize="9" fitToHeight="1" fitToWidth="1"/>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D14"/>
  <sheetViews>
    <sheetView showGridLines="0" workbookViewId="0">
      <selection activeCell="A1" sqref="A1"/>
    </sheetView>
  </sheetViews>
  <sheetFormatPr baseColWidth="8" defaultRowHeight="15"/>
  <cols>
    <col width="62" customWidth="1" min="1" max="1"/>
    <col width="18" customWidth="1" min="2" max="2"/>
    <col width="18" customWidth="1" min="3" max="3"/>
    <col width="50" customWidth="1" min="4" max="4"/>
  </cols>
  <sheetData>
    <row r="1">
      <c r="A1" s="1" t="inlineStr">
        <is>
          <t>Sensitivity and Switching Values</t>
        </is>
      </c>
    </row>
    <row r="2">
      <c r="A2" s="5" t="inlineStr">
        <is>
          <t>For the proposal chosen in Settings. Switching values show how far the evidence would have to move to change the value for money category.</t>
        </is>
      </c>
    </row>
    <row r="4">
      <c r="A4" s="6" t="inlineStr">
        <is>
          <t>Test</t>
        </is>
      </c>
      <c r="B4" s="6" t="inlineStr">
        <is>
          <t>Gateshead</t>
        </is>
      </c>
      <c r="C4" s="6" t="inlineStr">
        <is>
          <t>UK</t>
        </is>
      </c>
      <c r="D4" s="6" t="inlineStr">
        <is>
          <t>Reading</t>
        </is>
      </c>
    </row>
    <row r="5">
      <c r="A5" s="4" t="inlineStr">
        <is>
          <t>Fall in benefits that would drop the category one band</t>
        </is>
      </c>
      <c r="B5" s="21">
        <f>IFERROR(IF(IF((INDEX(Calculations!$D$107:$R$107,1,(Settings!$B$5-1)*3+2))&gt;=4,4,IF((INDEX(Calculations!$D$107:$R$107,1,(Settings!$B$5-1)*3+2))&gt;=2,2,IF((INDEX(Calculations!$D$107:$R$107,1,(Settings!$B$5-1)*3+2))&gt;=1.5,1.5,IF((INDEX(Calculations!$D$107:$R$107,1,(Settings!$B$5-1)*3+2))&gt;=1,1,0))))=0,"Already Poor or below",1-IF((INDEX(Calculations!$D$107:$R$107,1,(Settings!$B$5-1)*3+2))&gt;=4,4,IF((INDEX(Calculations!$D$107:$R$107,1,(Settings!$B$5-1)*3+2))&gt;=2,2,IF((INDEX(Calculations!$D$107:$R$107,1,(Settings!$B$5-1)*3+2))&gt;=1.5,1.5,IF((INDEX(Calculations!$D$107:$R$107,1,(Settings!$B$5-1)*3+2))&gt;=1,1,0))))*(INDEX(Calculations!$D$91:$R$91,1,(Settings!$B$5-1)*3+2))/(INDEX(Calculations!$D$102:$R$102,1,(Settings!$B$5-1)*3+2))),"")</f>
        <v/>
      </c>
      <c r="C5" s="21">
        <f>IFERROR(IF(IF((INDEX(Calculations!$D$112:$R$112,1,(Settings!$B$5-1)*3+2))&gt;=4,4,IF((INDEX(Calculations!$D$112:$R$112,1,(Settings!$B$5-1)*3+2))&gt;=2,2,IF((INDEX(Calculations!$D$112:$R$112,1,(Settings!$B$5-1)*3+2))&gt;=1.5,1.5,IF((INDEX(Calculations!$D$112:$R$112,1,(Settings!$B$5-1)*3+2))&gt;=1,1,0))))=0,"Already Poor or below",1-IF((INDEX(Calculations!$D$112:$R$112,1,(Settings!$B$5-1)*3+2))&gt;=4,4,IF((INDEX(Calculations!$D$112:$R$112,1,(Settings!$B$5-1)*3+2))&gt;=2,2,IF((INDEX(Calculations!$D$112:$R$112,1,(Settings!$B$5-1)*3+2))&gt;=1.5,1.5,IF((INDEX(Calculations!$D$112:$R$112,1,(Settings!$B$5-1)*3+2))&gt;=1,1,0))))*(INDEX(Calculations!$D$91:$R$91,1,(Settings!$B$5-1)*3+2))/(INDEX(Calculations!$D$103:$R$103,1,(Settings!$B$5-1)*3+2))),"")</f>
        <v/>
      </c>
      <c r="D5" s="2" t="inlineStr">
        <is>
          <t>Switching value (Green Book 6.104)</t>
        </is>
      </c>
    </row>
    <row r="6">
      <c r="A6" s="4" t="inlineStr">
        <is>
          <t>Extra benefits needed to reach the next category</t>
        </is>
      </c>
      <c r="B6" s="20">
        <f>IFERROR(IF(IF((INDEX(Calculations!$D$107:$R$107,1,(Settings!$B$5-1)*3+2))&lt;0,0,IF((INDEX(Calculations!$D$107:$R$107,1,(Settings!$B$5-1)*3+2))&lt;1,1,IF((INDEX(Calculations!$D$107:$R$107,1,(Settings!$B$5-1)*3+2))&lt;1.5,1.5,IF((INDEX(Calculations!$D$107:$R$107,1,(Settings!$B$5-1)*3+2))&lt;2,2,IF((INDEX(Calculations!$D$107:$R$107,1,(Settings!$B$5-1)*3+2))&lt;4,4,"")))))="","Already Very High",IF((INDEX(Calculations!$D$107:$R$107,1,(Settings!$B$5-1)*3+2))&lt;0,0,IF((INDEX(Calculations!$D$107:$R$107,1,(Settings!$B$5-1)*3+2))&lt;1,1,IF((INDEX(Calculations!$D$107:$R$107,1,(Settings!$B$5-1)*3+2))&lt;1.5,1.5,IF((INDEX(Calculations!$D$107:$R$107,1,(Settings!$B$5-1)*3+2))&lt;2,2,IF((INDEX(Calculations!$D$107:$R$107,1,(Settings!$B$5-1)*3+2))&lt;4,4,"")))))*(INDEX(Calculations!$D$91:$R$91,1,(Settings!$B$5-1)*3+2))-(INDEX(Calculations!$D$102:$R$102,1,(Settings!$B$5-1)*3+2))),"")</f>
        <v/>
      </c>
      <c r="C6" s="20">
        <f>IFERROR(IF(IF((INDEX(Calculations!$D$112:$R$112,1,(Settings!$B$5-1)*3+2))&lt;0,0,IF((INDEX(Calculations!$D$112:$R$112,1,(Settings!$B$5-1)*3+2))&lt;1,1,IF((INDEX(Calculations!$D$112:$R$112,1,(Settings!$B$5-1)*3+2))&lt;1.5,1.5,IF((INDEX(Calculations!$D$112:$R$112,1,(Settings!$B$5-1)*3+2))&lt;2,2,IF((INDEX(Calculations!$D$112:$R$112,1,(Settings!$B$5-1)*3+2))&lt;4,4,"")))))="","Already Very High",IF((INDEX(Calculations!$D$112:$R$112,1,(Settings!$B$5-1)*3+2))&lt;0,0,IF((INDEX(Calculations!$D$112:$R$112,1,(Settings!$B$5-1)*3+2))&lt;1,1,IF((INDEX(Calculations!$D$112:$R$112,1,(Settings!$B$5-1)*3+2))&lt;1.5,1.5,IF((INDEX(Calculations!$D$112:$R$112,1,(Settings!$B$5-1)*3+2))&lt;2,2,IF((INDEX(Calculations!$D$112:$R$112,1,(Settings!$B$5-1)*3+2))&lt;4,4,"")))))*(INDEX(Calculations!$D$91:$R$91,1,(Settings!$B$5-1)*3+2))-(INDEX(Calculations!$D$103:$R$103,1,(Settings!$B$5-1)*3+2))),"")</f>
        <v/>
      </c>
      <c r="D6" s="2" t="inlineStr"/>
    </row>
    <row r="7">
      <c r="A7" s="4" t="inlineStr">
        <is>
          <t>Residents feeling more pride in place needed to reach the next category</t>
        </is>
      </c>
      <c r="B7" s="23">
        <f>IFERROR(IF(IF((INDEX(Calculations!$D$107:$R$107,1,(Settings!$B$5-1)*3+2))&lt;0,0,IF((INDEX(Calculations!$D$107:$R$107,1,(Settings!$B$5-1)*3+2))&lt;1,1,IF((INDEX(Calculations!$D$107:$R$107,1,(Settings!$B$5-1)*3+2))&lt;1.5,1.5,IF((INDEX(Calculations!$D$107:$R$107,1,(Settings!$B$5-1)*3+2))&lt;2,2,IF((INDEX(Calculations!$D$107:$R$107,1,(Settings!$B$5-1)*3+2))&lt;4,4,"")))))="","",(IF((INDEX(Calculations!$D$107:$R$107,1,(Settings!$B$5-1)*3+2))&lt;0,0,IF((INDEX(Calculations!$D$107:$R$107,1,(Settings!$B$5-1)*3+2))&lt;1,1,IF((INDEX(Calculations!$D$107:$R$107,1,(Settings!$B$5-1)*3+2))&lt;1.5,1.5,IF((INDEX(Calculations!$D$107:$R$107,1,(Settings!$B$5-1)*3+2))&lt;2,2,IF((INDEX(Calculations!$D$107:$R$107,1,(Settings!$B$5-1)*3+2))&lt;4,4,"")))))*(INDEX(Calculations!$D$91:$R$91,1,(Settings!$B$5-1)*3+2))-(INDEX(Calculations!$D$102:$R$102,1,(Settings!$B$5-1)*3+2)))/(Assumptions!$O$86*(INDEX(Calculations!$D$15:$R$15,1,(Settings!$B$5-1)*3+2)))),"")</f>
        <v/>
      </c>
      <c r="C7" s="23">
        <f>IFERROR(IF(IF((INDEX(Calculations!$D$112:$R$112,1,(Settings!$B$5-1)*3+2))&lt;0,0,IF((INDEX(Calculations!$D$112:$R$112,1,(Settings!$B$5-1)*3+2))&lt;1,1,IF((INDEX(Calculations!$D$112:$R$112,1,(Settings!$B$5-1)*3+2))&lt;1.5,1.5,IF((INDEX(Calculations!$D$112:$R$112,1,(Settings!$B$5-1)*3+2))&lt;2,2,IF((INDEX(Calculations!$D$112:$R$112,1,(Settings!$B$5-1)*3+2))&lt;4,4,"")))))="","",(IF((INDEX(Calculations!$D$112:$R$112,1,(Settings!$B$5-1)*3+2))&lt;0,0,IF((INDEX(Calculations!$D$112:$R$112,1,(Settings!$B$5-1)*3+2))&lt;1,1,IF((INDEX(Calculations!$D$112:$R$112,1,(Settings!$B$5-1)*3+2))&lt;1.5,1.5,IF((INDEX(Calculations!$D$112:$R$112,1,(Settings!$B$5-1)*3+2))&lt;2,2,IF((INDEX(Calculations!$D$112:$R$112,1,(Settings!$B$5-1)*3+2))&lt;4,4,"")))))*(INDEX(Calculations!$D$91:$R$91,1,(Settings!$B$5-1)*3+2))-(INDEX(Calculations!$D$103:$R$103,1,(Settings!$B$5-1)*3+2)))/(Assumptions!$O$86*(INDEX(Calculations!$D$15:$R$15,1,(Settings!$B$5-1)*3+2)))),"")</f>
        <v/>
      </c>
      <c r="D7" s="2" t="inlineStr">
        <is>
          <t>At £4,620 a person a year (HACT value used by MHCLG); switching test only, never in a ratio (decision 6)</t>
        </is>
      </c>
    </row>
    <row r="8">
      <c r="A8" s="4" t="inlineStr">
        <is>
          <t>People moved from moderate to mild loneliness needed to reach the next category</t>
        </is>
      </c>
      <c r="B8" s="23">
        <f>IFERROR(IF(IF((INDEX(Calculations!$D$107:$R$107,1,(Settings!$B$5-1)*3+2))&lt;0,0,IF((INDEX(Calculations!$D$107:$R$107,1,(Settings!$B$5-1)*3+2))&lt;1,1,IF((INDEX(Calculations!$D$107:$R$107,1,(Settings!$B$5-1)*3+2))&lt;1.5,1.5,IF((INDEX(Calculations!$D$107:$R$107,1,(Settings!$B$5-1)*3+2))&lt;2,2,IF((INDEX(Calculations!$D$107:$R$107,1,(Settings!$B$5-1)*3+2))&lt;4,4,"")))))="","",(IF((INDEX(Calculations!$D$107:$R$107,1,(Settings!$B$5-1)*3+2))&lt;0,0,IF((INDEX(Calculations!$D$107:$R$107,1,(Settings!$B$5-1)*3+2))&lt;1,1,IF((INDEX(Calculations!$D$107:$R$107,1,(Settings!$B$5-1)*3+2))&lt;1.5,1.5,IF((INDEX(Calculations!$D$107:$R$107,1,(Settings!$B$5-1)*3+2))&lt;2,2,IF((INDEX(Calculations!$D$107:$R$107,1,(Settings!$B$5-1)*3+2))&lt;4,4,"")))))*(INDEX(Calculations!$D$91:$R$91,1,(Settings!$B$5-1)*3+2))-(INDEX(Calculations!$D$102:$R$102,1,(Settings!$B$5-1)*3+2)))/(Assumptions!$O$85*(INDEX(Calculations!$D$15:$R$15,1,(Settings!$B$5-1)*3+2)))),"")</f>
        <v/>
      </c>
      <c r="C8" s="23">
        <f>IFERROR(IF(IF((INDEX(Calculations!$D$112:$R$112,1,(Settings!$B$5-1)*3+2))&lt;0,0,IF((INDEX(Calculations!$D$112:$R$112,1,(Settings!$B$5-1)*3+2))&lt;1,1,IF((INDEX(Calculations!$D$112:$R$112,1,(Settings!$B$5-1)*3+2))&lt;1.5,1.5,IF((INDEX(Calculations!$D$112:$R$112,1,(Settings!$B$5-1)*3+2))&lt;2,2,IF((INDEX(Calculations!$D$112:$R$112,1,(Settings!$B$5-1)*3+2))&lt;4,4,"")))))="","",(IF((INDEX(Calculations!$D$112:$R$112,1,(Settings!$B$5-1)*3+2))&lt;0,0,IF((INDEX(Calculations!$D$112:$R$112,1,(Settings!$B$5-1)*3+2))&lt;1,1,IF((INDEX(Calculations!$D$112:$R$112,1,(Settings!$B$5-1)*3+2))&lt;1.5,1.5,IF((INDEX(Calculations!$D$112:$R$112,1,(Settings!$B$5-1)*3+2))&lt;2,2,IF((INDEX(Calculations!$D$112:$R$112,1,(Settings!$B$5-1)*3+2))&lt;4,4,"")))))*(INDEX(Calculations!$D$91:$R$91,1,(Settings!$B$5-1)*3+2))-(INDEX(Calculations!$D$103:$R$103,1,(Settings!$B$5-1)*3+2)))/(Assumptions!$O$85*(INDEX(Calculations!$D$15:$R$15,1,(Settings!$B$5-1)*3+2)))),"")</f>
        <v/>
      </c>
      <c r="D8" s="2" t="inlineStr">
        <is>
          <t>Loneliness value, causality unclear (row S6); sensitivity only</t>
        </is>
      </c>
    </row>
    <row r="9">
      <c r="A9" s="4" t="inlineStr">
        <is>
          <t>Value of accredited qualifications (not in the ratios)</t>
        </is>
      </c>
      <c r="B9" s="20">
        <f>IFERROR((INDEX(Calculations!$D$127:$R$127,1,(Settings!$B$5-1)*3+2)),"")</f>
        <v/>
      </c>
      <c r="C9" s="20">
        <f>IFERROR((INDEX(Calculations!$D$127:$R$127,1,(Settings!$B$5-1)*3+2)),"")</f>
        <v/>
      </c>
      <c r="D9" s="2" t="inlineStr">
        <is>
          <t>Earnings values that overlap GVA (rows S10, S11)</t>
        </is>
      </c>
    </row>
    <row r="10">
      <c r="A10" s="4" t="inlineStr">
        <is>
          <t>Benefit-cost ratio with streams outside the range rule put back (MHCLG 5.92 switching test)</t>
        </is>
      </c>
      <c r="B10" s="25">
        <f>IFERROR((INDEX(Calculations!$D$109:$R$109,1,(Settings!$B$5-1)*3+2)),"")</f>
        <v/>
      </c>
      <c r="C10" s="25">
        <f>IFERROR((INDEX(Calculations!$D$114:$R$114,1,(Settings!$B$5-1)*3+2)),"")</f>
        <v/>
      </c>
      <c r="D10" s="2" t="inlineStr">
        <is>
          <t>If this changes the category, the excluded stream matters to the value for money judgement</t>
        </is>
      </c>
    </row>
    <row r="11">
      <c r="A11" s="4" t="inlineStr">
        <is>
          <t>Benefit-cost ratio without the offsetting transfers</t>
        </is>
      </c>
      <c r="B11" s="25">
        <f>IFERROR((INDEX(Calculations!$D$108:$R$108,1,(Settings!$B$5-1)*3+2)),"")</f>
        <v/>
      </c>
      <c r="C11" s="25">
        <f>IFERROR((INDEX(Calculations!$D$113:$R$113,1,(Settings!$B$5-1)*3+2)),"")</f>
        <v/>
      </c>
      <c r="D11" s="2" t="inlineStr">
        <is>
          <t>Shows how much of the ratio is rates relief and rent</t>
        </is>
      </c>
    </row>
    <row r="12">
      <c r="A12" s="4" t="inlineStr">
        <is>
          <t>Benefit-cost ratio without optimism bias on fit-out and operator costs</t>
        </is>
      </c>
      <c r="B12" s="25">
        <f>IFERROR((INDEX(Calculations!$D$102:$R$102,1,(Settings!$B$5-1)*3+2))/((INDEX(Calculations!$D$91:$R$91,1,(Settings!$B$5-1)*3+2))-(INDEX(Calculations!$D$83:$R$83,1,(Settings!$B$5-1)*3+2))+(INDEX(Calculations!$D$83:$R$83,1,(Settings!$B$5-1)*3+2))/(1+(INDEX(Calculations!$D$82:$R$82,1,(Settings!$B$5-1)*3+2)))-(INDEX(Calculations!$D$84:$R$84,1,(Settings!$B$5-1)*3+2))+(INDEX(Calculations!$D$84:$R$84,1,(Settings!$B$5-1)*3+2))/(1+Assumptions!$O$19/100)),"")</f>
        <v/>
      </c>
      <c r="C12" s="25">
        <f>IFERROR((INDEX(Calculations!$D$103:$R$103,1,(Settings!$B$5-1)*3+2))/((INDEX(Calculations!$D$91:$R$91,1,(Settings!$B$5-1)*3+2))-(INDEX(Calculations!$D$83:$R$83,1,(Settings!$B$5-1)*3+2))+(INDEX(Calculations!$D$83:$R$83,1,(Settings!$B$5-1)*3+2))/(1+(INDEX(Calculations!$D$82:$R$82,1,(Settings!$B$5-1)*3+2)))-(INDEX(Calculations!$D$84:$R$84,1,(Settings!$B$5-1)*3+2))+(INDEX(Calculations!$D$84:$R$84,1,(Settings!$B$5-1)*3+2))/(1+Assumptions!$O$19/100)),"")</f>
        <v/>
      </c>
      <c r="D12" s="2" t="inlineStr">
        <is>
          <t>Shows how much the optimism bias uplifts matter</t>
        </is>
      </c>
    </row>
    <row r="14">
      <c r="A14" s="5" t="inlineStr">
        <is>
          <t>To test the announced 3.0% discount rate, change it on the Settings sheet. The ratios recalculate throughout.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8"/>
  <sheetViews>
    <sheetView showGridLines="0" workbookViewId="0">
      <selection activeCell="A1" sqref="A1"/>
    </sheetView>
  </sheetViews>
  <sheetFormatPr baseColWidth="8" defaultRowHeight="15"/>
  <cols>
    <col width="40" customWidth="1" min="1" max="1"/>
    <col width="20" customWidth="1" min="2" max="2"/>
    <col width="20" customWidth="1" min="3" max="3"/>
    <col width="20" customWidth="1" min="4" max="4"/>
    <col width="20" customWidth="1" min="5" max="5"/>
    <col width="20" customWidth="1" min="6" max="6"/>
  </cols>
  <sheetData>
    <row r="1">
      <c r="A1" s="1" t="inlineStr">
        <is>
          <t>Compare Proposals</t>
        </is>
      </c>
    </row>
    <row r="2">
      <c r="A2" s="5" t="inlineStr">
        <is>
          <t>All five proposals on central assumptions, with the low to high range.</t>
        </is>
      </c>
    </row>
    <row r="4">
      <c r="A4" s="6" t="inlineStr">
        <is>
          <t>Measure</t>
        </is>
      </c>
      <c r="B4" s="6" t="inlineStr">
        <is>
          <t>Proposal 1</t>
        </is>
      </c>
      <c r="C4" s="6" t="inlineStr">
        <is>
          <t>Proposal 2</t>
        </is>
      </c>
      <c r="D4" s="6" t="inlineStr">
        <is>
          <t>Proposal 3</t>
        </is>
      </c>
      <c r="E4" s="6" t="inlineStr">
        <is>
          <t>Proposal 4</t>
        </is>
      </c>
      <c r="F4" s="6" t="inlineStr">
        <is>
          <t>Proposal 5</t>
        </is>
      </c>
    </row>
    <row r="5">
      <c r="A5" s="13" t="inlineStr">
        <is>
          <t>Name</t>
        </is>
      </c>
      <c r="B5">
        <f>IF(Inputs!C6="","",Inputs!C6)</f>
        <v/>
      </c>
      <c r="C5">
        <f>IF(Inputs!D6="","",Inputs!D6)</f>
        <v/>
      </c>
      <c r="D5">
        <f>IF(Inputs!E6="","",Inputs!E6)</f>
        <v/>
      </c>
      <c r="E5">
        <f>IF(Inputs!F6="","",Inputs!F6)</f>
        <v/>
      </c>
      <c r="F5">
        <f>IF(Inputs!G6="","",Inputs!G6)</f>
        <v/>
      </c>
    </row>
    <row r="6">
      <c r="A6" s="13" t="inlineStr">
        <is>
          <t>Use</t>
        </is>
      </c>
      <c r="B6">
        <f>IF(Inputs!C9="","",Inputs!C9)</f>
        <v/>
      </c>
      <c r="C6">
        <f>IF(Inputs!D9="","",Inputs!D9)</f>
        <v/>
      </c>
      <c r="D6">
        <f>IF(Inputs!E9="","",Inputs!E9)</f>
        <v/>
      </c>
      <c r="E6">
        <f>IF(Inputs!F9="","",Inputs!F9)</f>
        <v/>
      </c>
      <c r="F6">
        <f>IF(Inputs!G9="","",Inputs!G9)</f>
        <v/>
      </c>
    </row>
    <row r="7">
      <c r="A7" s="13" t="inlineStr">
        <is>
          <t>Centre</t>
        </is>
      </c>
      <c r="B7">
        <f>IF(Inputs!C7="","",Inputs!C7)</f>
        <v/>
      </c>
      <c r="C7">
        <f>IF(Inputs!D7="","",Inputs!D7)</f>
        <v/>
      </c>
      <c r="D7">
        <f>IF(Inputs!E7="","",Inputs!E7)</f>
        <v/>
      </c>
      <c r="E7">
        <f>IF(Inputs!F7="","",Inputs!F7)</f>
        <v/>
      </c>
      <c r="F7">
        <f>IF(Inputs!G7="","",Inputs!G7)</f>
        <v/>
      </c>
    </row>
    <row r="8">
      <c r="A8" s="13" t="inlineStr">
        <is>
          <t>Category, Gateshead</t>
        </is>
      </c>
      <c r="B8">
        <f>Calculations!E111</f>
        <v/>
      </c>
      <c r="C8">
        <f>Calculations!H111</f>
        <v/>
      </c>
      <c r="D8">
        <f>Calculations!K111</f>
        <v/>
      </c>
      <c r="E8">
        <f>Calculations!N111</f>
        <v/>
      </c>
      <c r="F8">
        <f>Calculations!Q111</f>
        <v/>
      </c>
    </row>
    <row r="9">
      <c r="A9" s="13" t="inlineStr">
        <is>
          <t>Benefit-cost ratio, Gateshead (central)</t>
        </is>
      </c>
      <c r="B9" s="25">
        <f>Calculations!E107</f>
        <v/>
      </c>
      <c r="C9" s="25">
        <f>Calculations!H107</f>
        <v/>
      </c>
      <c r="D9" s="25">
        <f>Calculations!K107</f>
        <v/>
      </c>
      <c r="E9" s="25">
        <f>Calculations!N107</f>
        <v/>
      </c>
      <c r="F9" s="25">
        <f>Calculations!Q107</f>
        <v/>
      </c>
    </row>
    <row r="10">
      <c r="A10" s="13" t="inlineStr">
        <is>
          <t>Range, Gateshead</t>
        </is>
      </c>
      <c r="B10">
        <f>IF(Calculations!D107="","",TEXT(Calculations!D107,"0.00")&amp;" to "&amp;TEXT(Calculations!F107,"0.00"))</f>
        <v/>
      </c>
      <c r="C10">
        <f>IF(Calculations!G107="","",TEXT(Calculations!G107,"0.00")&amp;" to "&amp;TEXT(Calculations!I107,"0.00"))</f>
        <v/>
      </c>
      <c r="D10">
        <f>IF(Calculations!J107="","",TEXT(Calculations!J107,"0.00")&amp;" to "&amp;TEXT(Calculations!L107,"0.00"))</f>
        <v/>
      </c>
      <c r="E10">
        <f>IF(Calculations!M107="","",TEXT(Calculations!M107,"0.00")&amp;" to "&amp;TEXT(Calculations!O107,"0.00"))</f>
        <v/>
      </c>
      <c r="F10">
        <f>IF(Calculations!P107="","",TEXT(Calculations!P107,"0.00")&amp;" to "&amp;TEXT(Calculations!R107,"0.00"))</f>
        <v/>
      </c>
    </row>
    <row r="11">
      <c r="A11" s="13" t="inlineStr">
        <is>
          <t>Category, UK</t>
        </is>
      </c>
      <c r="B11">
        <f>Calculations!E116</f>
        <v/>
      </c>
      <c r="C11">
        <f>Calculations!H116</f>
        <v/>
      </c>
      <c r="D11">
        <f>Calculations!K116</f>
        <v/>
      </c>
      <c r="E11">
        <f>Calculations!N116</f>
        <v/>
      </c>
      <c r="F11">
        <f>Calculations!Q116</f>
        <v/>
      </c>
    </row>
    <row r="12">
      <c r="A12" s="13" t="inlineStr">
        <is>
          <t>Benefit-cost ratio, UK (central)</t>
        </is>
      </c>
      <c r="B12" s="25">
        <f>Calculations!E112</f>
        <v/>
      </c>
      <c r="C12" s="25">
        <f>Calculations!H112</f>
        <v/>
      </c>
      <c r="D12" s="25">
        <f>Calculations!K112</f>
        <v/>
      </c>
      <c r="E12" s="25">
        <f>Calculations!N112</f>
        <v/>
      </c>
      <c r="F12" s="25">
        <f>Calculations!Q112</f>
        <v/>
      </c>
    </row>
    <row r="13">
      <c r="A13" s="13" t="inlineStr">
        <is>
          <t>Robustness</t>
        </is>
      </c>
      <c r="B13">
        <f>Calculations!E118</f>
        <v/>
      </c>
      <c r="C13">
        <f>Calculations!H118</f>
        <v/>
      </c>
      <c r="D13">
        <f>Calculations!K118</f>
        <v/>
      </c>
      <c r="E13">
        <f>Calculations!N118</f>
        <v/>
      </c>
      <c r="F13">
        <f>Calculations!Q118</f>
        <v/>
      </c>
    </row>
    <row r="14">
      <c r="A14" s="13" t="inlineStr">
        <is>
          <t>Net public cost</t>
        </is>
      </c>
      <c r="B14" s="20">
        <f>Calculations!E91</f>
        <v/>
      </c>
      <c r="C14" s="20">
        <f>Calculations!H91</f>
        <v/>
      </c>
      <c r="D14" s="20">
        <f>Calculations!K91</f>
        <v/>
      </c>
      <c r="E14" s="20">
        <f>Calculations!N91</f>
        <v/>
      </c>
      <c r="F14" s="20">
        <f>Calculations!Q91</f>
        <v/>
      </c>
    </row>
    <row r="15">
      <c r="A15" s="13" t="inlineStr">
        <is>
          <t>Council cost</t>
        </is>
      </c>
      <c r="B15" s="20">
        <f>Calculations!E93</f>
        <v/>
      </c>
      <c r="C15" s="20">
        <f>Calculations!H93</f>
        <v/>
      </c>
      <c r="D15" s="20">
        <f>Calculations!K93</f>
        <v/>
      </c>
      <c r="E15" s="20">
        <f>Calculations!N93</f>
        <v/>
      </c>
      <c r="F15" s="20">
        <f>Calculations!Q93</f>
        <v/>
      </c>
    </row>
    <row r="16">
      <c r="A16" s="13" t="inlineStr">
        <is>
          <t>Net FTE, Gateshead</t>
        </is>
      </c>
      <c r="B16" s="22">
        <f>Calculations!E38</f>
        <v/>
      </c>
      <c r="C16" s="22">
        <f>Calculations!H38</f>
        <v/>
      </c>
      <c r="D16" s="22">
        <f>Calculations!K38</f>
        <v/>
      </c>
      <c r="E16" s="22">
        <f>Calculations!N38</f>
        <v/>
      </c>
      <c r="F16" s="22">
        <f>Calculations!Q38</f>
        <v/>
      </c>
    </row>
    <row r="17">
      <c r="A17" s="13" t="inlineStr">
        <is>
          <t>GVA supported in Gateshead</t>
        </is>
      </c>
      <c r="B17" s="20">
        <f>Calculations!E44</f>
        <v/>
      </c>
      <c r="C17" s="20">
        <f>Calculations!H44</f>
        <v/>
      </c>
      <c r="D17" s="20">
        <f>Calculations!K44</f>
        <v/>
      </c>
      <c r="E17" s="20">
        <f>Calculations!N44</f>
        <v/>
      </c>
      <c r="F17" s="20">
        <f>Calculations!Q44</f>
        <v/>
      </c>
    </row>
    <row r="18">
      <c r="A18" s="13" t="inlineStr">
        <is>
          <t>GVA from visitor spend</t>
        </is>
      </c>
      <c r="B18" s="20">
        <f>Calculations!E124</f>
        <v/>
      </c>
      <c r="C18" s="20">
        <f>Calculations!H124</f>
        <v/>
      </c>
      <c r="D18" s="20">
        <f>Calculations!K124</f>
        <v/>
      </c>
      <c r="E18" s="20">
        <f>Calculations!N124</f>
        <v/>
      </c>
      <c r="F18" s="20">
        <f>Calculations!Q124</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
  <sheetViews>
    <sheetView showGridLines="0" workbookViewId="0">
      <selection activeCell="A1" sqref="A1"/>
    </sheetView>
  </sheetViews>
  <sheetFormatPr baseColWidth="8" defaultRowHeight="15"/>
  <cols>
    <col width="52" customWidth="1" min="1" max="1"/>
    <col width="14" customWidth="1" min="2" max="2"/>
    <col width="70" customWidth="1" min="3" max="3"/>
  </cols>
  <sheetData>
    <row r="1">
      <c r="A1" s="1" t="inlineStr">
        <is>
          <t>Settings</t>
        </is>
      </c>
    </row>
    <row r="2">
      <c r="A2" s="5" t="inlineStr">
        <is>
          <t>Changeable settings. Defaults follow current Treasury and MHCLG guidance.</t>
        </is>
      </c>
    </row>
    <row r="4">
      <c r="A4" s="6" t="inlineStr">
        <is>
          <t>Setting</t>
        </is>
      </c>
      <c r="B4" s="6" t="inlineStr">
        <is>
          <t>Value</t>
        </is>
      </c>
      <c r="C4" s="6" t="inlineStr">
        <is>
          <t>Note</t>
        </is>
      </c>
    </row>
    <row r="5">
      <c r="A5" s="4" t="inlineStr">
        <is>
          <t>Proposal shown on Results and Sensitivity (1 to 5)</t>
        </is>
      </c>
      <c r="B5" s="26" t="n">
        <v>1</v>
      </c>
      <c r="C5" s="2" t="inlineStr">
        <is>
          <t>Pick the proposal column</t>
        </is>
      </c>
    </row>
    <row r="6">
      <c r="A6" s="4" t="inlineStr">
        <is>
          <t>Discount rate (real)</t>
        </is>
      </c>
      <c r="B6" s="27">
        <f>Assumptions!$O$5/100</f>
        <v/>
      </c>
      <c r="C6" s="2" t="inlineStr">
        <is>
          <t>Green Book 3.5%. The Chancellor has announced 3.0% at the 28 October 2026 Budget; type 3.0% here to test it until the guidance is revised</t>
        </is>
      </c>
    </row>
    <row r="7">
      <c r="A7" s="4" t="inlineStr">
        <is>
          <t>Discount rate for wellbeing values</t>
        </is>
      </c>
      <c r="B7" s="27">
        <f>Assumptions!$O$6/100</f>
        <v/>
      </c>
      <c r="C7" s="2" t="inlineStr">
        <is>
          <t>Green Book health rate 1.5%</t>
        </is>
      </c>
    </row>
    <row r="8">
      <c r="A8" s="4" t="inlineStr">
        <is>
          <t>Count employment wellbeing in the UK lens?</t>
        </is>
      </c>
      <c r="B8" s="28" t="inlineStr">
        <is>
          <t>No</t>
        </is>
      </c>
      <c r="C8" s="2" t="inlineStr">
        <is>
          <t>No by default. Green Book 8.41 assumes full displacement of jobs nationally, and Yes needs evidence signed off by a chief economist (8.42 to 8.43)</t>
        </is>
      </c>
    </row>
    <row r="9">
      <c r="A9" s="4" t="inlineStr">
        <is>
          <t>Include the legacy of a permanent let in the ratios?</t>
        </is>
      </c>
      <c r="B9" s="28" t="inlineStr">
        <is>
          <t>No</t>
        </is>
      </c>
      <c r="C9" s="2" t="inlineStr">
        <is>
          <t>Off by default (decision 5). Uses the officer's chance of a permanent let that would not otherwise happen, at market rent for 10 years (row L2)</t>
        </is>
      </c>
    </row>
  </sheetData>
  <dataValidations count="2">
    <dataValidation sqref="B8 B9" showDropDown="0" showInputMessage="0" showErrorMessage="0" allowBlank="0" type="list">
      <formula1>=L_YesNo</formula1>
    </dataValidation>
    <dataValidation sqref="B5" showDropDown="0" showInputMessage="0" showErrorMessage="0" allowBlank="0" type="whole" operator="between">
      <formula1>1</formula1>
      <formula2>5</formula2>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9"/>
  <sheetViews>
    <sheetView showGridLines="0" workbookViewId="0">
      <selection activeCell="A1" sqref="A1"/>
    </sheetView>
  </sheetViews>
  <sheetFormatPr baseColWidth="8" defaultRowHeight="15"/>
  <cols>
    <col width="44" customWidth="1" min="1" max="1"/>
    <col width="14" customWidth="1" min="2" max="2"/>
    <col width="16" customWidth="1" min="3" max="3"/>
    <col width="16" customWidth="1" min="4" max="4"/>
    <col width="40" customWidth="1" min="5" max="5"/>
    <col width="18" customWidth="1" min="6" max="6"/>
  </cols>
  <sheetData>
    <row r="1">
      <c r="A1" s="1" t="inlineStr">
        <is>
          <t>Static Data</t>
        </is>
      </c>
    </row>
    <row r="2">
      <c r="A2" s="5" t="inlineStr">
        <is>
          <t>Reference figures keyed in once and reused until the next edition. Each has its edition date, and the status turns red after 12 months.</t>
        </is>
      </c>
    </row>
    <row r="4">
      <c r="A4" s="6" t="inlineStr">
        <is>
          <t>Item</t>
        </is>
      </c>
      <c r="B4" s="6" t="inlineStr">
        <is>
          <t>Value</t>
        </is>
      </c>
      <c r="C4" s="6" t="inlineStr">
        <is>
          <t>Price year or unit</t>
        </is>
      </c>
      <c r="D4" s="6" t="inlineStr">
        <is>
          <t>Edition or date</t>
        </is>
      </c>
      <c r="E4" s="6" t="inlineStr">
        <is>
          <t>Source</t>
        </is>
      </c>
      <c r="F4" s="6" t="inlineStr">
        <is>
          <t>Status</t>
        </is>
      </c>
    </row>
    <row r="5">
      <c r="A5" s="4" t="inlineStr">
        <is>
          <t>STEAM Gateshead day-visitor spend per visit (optional; overrides row X1)</t>
        </is>
      </c>
      <c r="B5" s="29" t="n"/>
      <c r="C5" s="28" t="n">
        <v>2025</v>
      </c>
      <c r="D5" s="30" t="n"/>
      <c r="E5" s="31" t="inlineStr">
        <is>
          <t>STEAM (keyed in by the economic intelligence team)</t>
        </is>
      </c>
      <c r="F5">
        <f>IF(B5="","Not entered",IF(ISNUMBER(D5),IF(TODAY()-D5&gt;365,"Due for update","Current"),"Enter the edition date"))</f>
        <v/>
      </c>
    </row>
    <row r="6">
      <c r="A6" s="4" t="inlineStr">
        <is>
          <t>Small business multiplier (RV under £51,000)</t>
        </is>
      </c>
      <c r="B6" s="32" t="n">
        <v>0.432</v>
      </c>
      <c r="C6" s="13" t="inlineStr">
        <is>
          <t>2026-27</t>
        </is>
      </c>
      <c r="D6" s="30" t="n">
        <v>46318</v>
      </c>
      <c r="E6" s="31" t="inlineStr">
        <is>
          <t>GOV.UK, Estimate your business rates</t>
        </is>
      </c>
      <c r="F6">
        <f>IF(B6="","Not entered",IF(ISNUMBER(D6),IF(TODAY()-D6&gt;365,"Due for update","Current"),"Enter the edition date"))</f>
        <v/>
      </c>
    </row>
    <row r="7">
      <c r="A7" s="4" t="inlineStr">
        <is>
          <t>Small business multiplier, retail, hospitality and leisure</t>
        </is>
      </c>
      <c r="B7" s="32" t="n">
        <v>0.382</v>
      </c>
      <c r="C7" s="13" t="inlineStr">
        <is>
          <t>2026-27</t>
        </is>
      </c>
      <c r="D7" s="30" t="n">
        <v>46318</v>
      </c>
      <c r="E7" s="31" t="inlineStr">
        <is>
          <t>GOV.UK, Estimate your business rates</t>
        </is>
      </c>
      <c r="F7">
        <f>IF(B7="","Not entered",IF(ISNUMBER(D7),IF(TODAY()-D7&gt;365,"Due for update","Current"),"Enter the edition date"))</f>
        <v/>
      </c>
    </row>
    <row r="8">
      <c r="A8" s="4" t="inlineStr">
        <is>
          <t>Standard multiplier (RV £51,000 to £499,999)</t>
        </is>
      </c>
      <c r="B8" s="32" t="n">
        <v>0.48</v>
      </c>
      <c r="C8" s="13" t="inlineStr">
        <is>
          <t>2026-27</t>
        </is>
      </c>
      <c r="D8" s="30" t="n">
        <v>46318</v>
      </c>
      <c r="E8" s="31" t="inlineStr">
        <is>
          <t>GOV.UK, Estimate your business rates</t>
        </is>
      </c>
      <c r="F8">
        <f>IF(B8="","Not entered",IF(ISNUMBER(D8),IF(TODAY()-D8&gt;365,"Due for update","Current"),"Enter the edition date"))</f>
        <v/>
      </c>
    </row>
    <row r="9">
      <c r="A9" s="4" t="inlineStr">
        <is>
          <t>Standard multiplier, retail, hospitality and leisure</t>
        </is>
      </c>
      <c r="B9" s="32" t="n">
        <v>0.43</v>
      </c>
      <c r="C9" s="13" t="inlineStr">
        <is>
          <t>2026-27</t>
        </is>
      </c>
      <c r="D9" s="30" t="n">
        <v>46318</v>
      </c>
      <c r="E9" s="31" t="inlineStr">
        <is>
          <t>GOV.UK, Estimate your business rates</t>
        </is>
      </c>
      <c r="F9">
        <f>IF(B9="","Not entered",IF(ISNUMBER(D9),IF(TODAY()-D9&gt;365,"Due for update","Current"),"Enter the edition date"))</f>
        <v/>
      </c>
    </row>
    <row r="10">
      <c r="A10" s="4" t="inlineStr">
        <is>
          <t>Multiplier for RV £500,000 and over</t>
        </is>
      </c>
      <c r="B10" s="32" t="n">
        <v>0.508</v>
      </c>
      <c r="C10" s="13" t="inlineStr">
        <is>
          <t>2026-27</t>
        </is>
      </c>
      <c r="D10" s="30" t="n">
        <v>46318</v>
      </c>
      <c r="E10" s="31" t="inlineStr">
        <is>
          <t>GOV.UK, Estimate your business rates</t>
        </is>
      </c>
      <c r="F10">
        <f>IF(B10="","Not entered",IF(ISNUMBER(D10),IF(TODAY()-D10&gt;365,"Due for update","Current"),"Enter the edition date"))</f>
        <v/>
      </c>
    </row>
    <row r="11">
      <c r="A11" s="4" t="inlineStr">
        <is>
          <t>Empty properties below this RV are exempt until reoccupied</t>
        </is>
      </c>
      <c r="B11" s="33" t="n">
        <v>2900</v>
      </c>
      <c r="C11" s="13" t="inlineStr">
        <is>
          <t>£ RV</t>
        </is>
      </c>
      <c r="D11" s="30" t="n">
        <v>46318</v>
      </c>
      <c r="E11" s="31" t="inlineStr">
        <is>
          <t>GOV.UK, Empty property relief</t>
        </is>
      </c>
      <c r="F11">
        <f>IF(B11="","Not entered",IF(ISNUMBER(D11),IF(TODAY()-D11&gt;365,"Due for update","Current"),"Enter the edition date"))</f>
        <v/>
      </c>
    </row>
    <row r="12">
      <c r="A12" s="4" t="inlineStr">
        <is>
          <t>Small business rate relief: 100% up to this RV</t>
        </is>
      </c>
      <c r="B12" s="33" t="n">
        <v>12000</v>
      </c>
      <c r="C12" s="13" t="inlineStr">
        <is>
          <t>£ RV</t>
        </is>
      </c>
      <c r="D12" s="30" t="n">
        <v>46318</v>
      </c>
      <c r="E12" s="31" t="inlineStr">
        <is>
          <t>GOV.UK, Small business rate relief</t>
        </is>
      </c>
      <c r="F12">
        <f>IF(B12="","Not entered",IF(ISNUMBER(D12),IF(TODAY()-D12&gt;365,"Due for update","Current"),"Enter the edition date"))</f>
        <v/>
      </c>
    </row>
    <row r="13">
      <c r="A13" s="4" t="inlineStr">
        <is>
          <t>Small business rate relief: tapers to 0% at this RV</t>
        </is>
      </c>
      <c r="B13" s="33" t="n">
        <v>15000</v>
      </c>
      <c r="C13" s="13" t="inlineStr">
        <is>
          <t>£ RV</t>
        </is>
      </c>
      <c r="D13" s="30" t="n">
        <v>46318</v>
      </c>
      <c r="E13" s="31" t="inlineStr">
        <is>
          <t>GOV.UK, Small business rate relief</t>
        </is>
      </c>
      <c r="F13">
        <f>IF(B13="","Not entered",IF(ISNUMBER(D13),IF(TODAY()-D13&gt;365,"Due for update","Current"),"Enter the edition date"))</f>
        <v/>
      </c>
    </row>
    <row r="14">
      <c r="A14" s="4" t="inlineStr">
        <is>
          <t>Mandatory charitable rate relief</t>
        </is>
      </c>
      <c r="B14" s="32" t="n">
        <v>0.8</v>
      </c>
      <c r="C14" s="13" t="inlineStr">
        <is>
          <t>share</t>
        </is>
      </c>
      <c r="D14" s="30" t="n">
        <v>46318</v>
      </c>
      <c r="E14" s="31" t="inlineStr">
        <is>
          <t>GOV.UK, Charitable rate relief</t>
        </is>
      </c>
      <c r="F14">
        <f>IF(B14="","Not entered",IF(ISNUMBER(D14),IF(TODAY()-D14&gt;365,"Due for update","Current"),"Enter the edition date"))</f>
        <v/>
      </c>
    </row>
    <row r="15">
      <c r="A15" s="4" t="inlineStr">
        <is>
          <t>Occupation that restarts the empty exemption</t>
        </is>
      </c>
      <c r="B15" s="33" t="n">
        <v>13</v>
      </c>
      <c r="C15" s="13" t="inlineStr">
        <is>
          <t>weeks</t>
        </is>
      </c>
      <c r="D15" s="30" t="n">
        <v>46318</v>
      </c>
      <c r="E15" s="31" t="inlineStr">
        <is>
          <t>SI 2024/323, in force 1 April 2024</t>
        </is>
      </c>
      <c r="F15">
        <f>IF(B15="","Not entered",IF(ISNUMBER(D15),IF(TODAY()-D15&gt;365,"Due for update","Current"),"Enter the edition date"))</f>
        <v/>
      </c>
    </row>
    <row r="16">
      <c r="A16" s="4" t="inlineStr">
        <is>
          <t>Empty property exemption</t>
        </is>
      </c>
      <c r="B16" s="33" t="n">
        <v>3</v>
      </c>
      <c r="C16" s="13" t="inlineStr">
        <is>
          <t>months</t>
        </is>
      </c>
      <c r="D16" s="30" t="n">
        <v>46318</v>
      </c>
      <c r="E16" s="31" t="inlineStr">
        <is>
          <t>GOV.UK, Empty property relief</t>
        </is>
      </c>
      <c r="F16">
        <f>IF(B16="","Not entered",IF(ISNUMBER(D16),IF(TODAY()-D16&gt;365,"Due for update","Current"),"Enter the edition date"))</f>
        <v/>
      </c>
    </row>
    <row r="18">
      <c r="A18" s="15" t="inlineStr">
        <is>
          <t>GDP deflator, calendar years (2025 = 100), HM Treasury September 2026 file</t>
        </is>
      </c>
    </row>
    <row r="19">
      <c r="A19" s="6" t="inlineStr">
        <is>
          <t>Year</t>
        </is>
      </c>
      <c r="B19" s="6" t="inlineStr">
        <is>
          <t>Index</t>
        </is>
      </c>
    </row>
    <row r="20">
      <c r="A20" s="13" t="n">
        <v>2015</v>
      </c>
      <c r="B20" s="13" t="n">
        <v>72.6589</v>
      </c>
    </row>
    <row r="21">
      <c r="A21" s="13" t="n">
        <v>2016</v>
      </c>
      <c r="B21" s="13" t="n">
        <v>73.9044</v>
      </c>
    </row>
    <row r="22">
      <c r="A22" s="13" t="n">
        <v>2017</v>
      </c>
      <c r="B22" s="13" t="n">
        <v>74.98999999999999</v>
      </c>
    </row>
    <row r="23">
      <c r="A23" s="13" t="n">
        <v>2018</v>
      </c>
      <c r="B23" s="13" t="n">
        <v>76.4375</v>
      </c>
    </row>
    <row r="24">
      <c r="A24" s="13" t="n">
        <v>2019</v>
      </c>
      <c r="B24" s="13" t="n">
        <v>78.34180000000001</v>
      </c>
    </row>
    <row r="25">
      <c r="A25" s="13" t="n">
        <v>2020</v>
      </c>
      <c r="B25" s="13" t="n">
        <v>82.2004</v>
      </c>
    </row>
    <row r="26">
      <c r="A26" s="13" t="n">
        <v>2021</v>
      </c>
      <c r="B26" s="13" t="n">
        <v>82.70950000000001</v>
      </c>
    </row>
    <row r="27">
      <c r="A27" s="13" t="n">
        <v>2022</v>
      </c>
      <c r="B27" s="13" t="n">
        <v>87.4661</v>
      </c>
    </row>
    <row r="28">
      <c r="A28" s="13" t="n">
        <v>2023</v>
      </c>
      <c r="B28" s="13" t="n">
        <v>92.9927</v>
      </c>
    </row>
    <row r="29">
      <c r="A29" s="13" t="n">
        <v>2024</v>
      </c>
      <c r="B29" s="13" t="n">
        <v>96.5672</v>
      </c>
    </row>
    <row r="30">
      <c r="A30" s="13" t="n">
        <v>2025</v>
      </c>
      <c r="B30" s="13" t="n">
        <v>100</v>
      </c>
    </row>
    <row r="31">
      <c r="A31" s="13" t="n">
        <v>2026</v>
      </c>
      <c r="B31" s="13" t="n">
        <v>102.1831</v>
      </c>
    </row>
    <row r="33">
      <c r="A33" s="15" t="inlineStr">
        <is>
          <t>Council vacancy survey by centre (feeds the chance of a let anyway, row B1)</t>
        </is>
      </c>
    </row>
    <row r="34">
      <c r="A34" s="6" t="inlineStr">
        <is>
          <t>Centre</t>
        </is>
      </c>
      <c r="B34" s="6" t="inlineStr">
        <is>
          <t>Tier</t>
        </is>
      </c>
      <c r="C34" s="6" t="inlineStr">
        <is>
          <t>Vacant units at first survey</t>
        </is>
      </c>
      <c r="D34" s="6" t="inlineStr">
        <is>
          <t>Of which still vacant at second survey</t>
        </is>
      </c>
      <c r="E34" s="6" t="inlineStr">
        <is>
          <t>Months between surveys</t>
        </is>
      </c>
      <c r="F34" s="6" t="inlineStr">
        <is>
          <t>Second survey date</t>
        </is>
      </c>
      <c r="G34" s="6" t="inlineStr">
        <is>
          <t>Annual re-let rate</t>
        </is>
      </c>
    </row>
    <row r="35">
      <c r="A35" s="13" t="inlineStr">
        <is>
          <t>Gateshead Primary Shopping Area</t>
        </is>
      </c>
      <c r="B35" s="13" t="inlineStr">
        <is>
          <t>Gateshead Primary Shopping Area</t>
        </is>
      </c>
      <c r="C35" s="28" t="n"/>
      <c r="D35" s="28" t="n"/>
      <c r="E35" s="28" t="n"/>
      <c r="F35" s="30" t="n"/>
      <c r="G35" s="21">
        <f>IF(OR(C35="",C35=0,E35=""),"",1-(D35/C35)^(12/E35))</f>
        <v/>
      </c>
    </row>
    <row r="36">
      <c r="A36" s="13" t="inlineStr">
        <is>
          <t>Blaydon</t>
        </is>
      </c>
      <c r="B36" s="13" t="inlineStr">
        <is>
          <t>District Centre</t>
        </is>
      </c>
      <c r="C36" s="28" t="n"/>
      <c r="D36" s="28" t="n"/>
      <c r="E36" s="28" t="n"/>
      <c r="F36" s="30" t="n"/>
      <c r="G36" s="21">
        <f>IF(OR(C36="",C36=0,E36=""),"",1-(D36/C36)^(12/E36))</f>
        <v/>
      </c>
    </row>
    <row r="37">
      <c r="A37" s="13" t="inlineStr">
        <is>
          <t>Birtley</t>
        </is>
      </c>
      <c r="B37" s="13" t="inlineStr">
        <is>
          <t>District Centre</t>
        </is>
      </c>
      <c r="C37" s="28" t="n"/>
      <c r="D37" s="28" t="n"/>
      <c r="E37" s="28" t="n"/>
      <c r="F37" s="30" t="n"/>
      <c r="G37" s="21">
        <f>IF(OR(C37="",C37=0,E37=""),"",1-(D37/C37)^(12/E37))</f>
        <v/>
      </c>
    </row>
    <row r="38">
      <c r="A38" s="13" t="inlineStr">
        <is>
          <t>Coatsworth Road</t>
        </is>
      </c>
      <c r="B38" s="13" t="inlineStr">
        <is>
          <t>District Centre</t>
        </is>
      </c>
      <c r="C38" s="28" t="n"/>
      <c r="D38" s="28" t="n"/>
      <c r="E38" s="28" t="n"/>
      <c r="F38" s="30" t="n"/>
      <c r="G38" s="21">
        <f>IF(OR(C38="",C38=0,E38=""),"",1-(D38/C38)^(12/E38))</f>
        <v/>
      </c>
    </row>
    <row r="39">
      <c r="A39" s="13" t="inlineStr">
        <is>
          <t>Felling</t>
        </is>
      </c>
      <c r="B39" s="13" t="inlineStr">
        <is>
          <t>District Centre</t>
        </is>
      </c>
      <c r="C39" s="28" t="n"/>
      <c r="D39" s="28" t="n"/>
      <c r="E39" s="28" t="n"/>
      <c r="F39" s="30" t="n"/>
      <c r="G39" s="21">
        <f>IF(OR(C39="",C39=0,E39=""),"",1-(D39/C39)^(12/E39))</f>
        <v/>
      </c>
    </row>
    <row r="40">
      <c r="A40" s="13" t="inlineStr">
        <is>
          <t>Low Fell</t>
        </is>
      </c>
      <c r="B40" s="13" t="inlineStr">
        <is>
          <t>District Centre</t>
        </is>
      </c>
      <c r="C40" s="28" t="n"/>
      <c r="D40" s="28" t="n"/>
      <c r="E40" s="28" t="n"/>
      <c r="F40" s="30" t="n"/>
      <c r="G40" s="21">
        <f>IF(OR(C40="",C40=0,E40=""),"",1-(D40/C40)^(12/E40))</f>
        <v/>
      </c>
    </row>
    <row r="41">
      <c r="A41" s="13" t="inlineStr">
        <is>
          <t>Ryton</t>
        </is>
      </c>
      <c r="B41" s="13" t="inlineStr">
        <is>
          <t>District Centre</t>
        </is>
      </c>
      <c r="C41" s="28" t="n"/>
      <c r="D41" s="28" t="n"/>
      <c r="E41" s="28" t="n"/>
      <c r="F41" s="30" t="n"/>
      <c r="G41" s="21">
        <f>IF(OR(C41="",C41=0,E41=""),"",1-(D41/C41)^(12/E41))</f>
        <v/>
      </c>
    </row>
    <row r="42">
      <c r="A42" s="13" t="inlineStr">
        <is>
          <t>Whickham</t>
        </is>
      </c>
      <c r="B42" s="13" t="inlineStr">
        <is>
          <t>District Centre</t>
        </is>
      </c>
      <c r="C42" s="28" t="n"/>
      <c r="D42" s="28" t="n"/>
      <c r="E42" s="28" t="n"/>
      <c r="F42" s="30" t="n"/>
      <c r="G42" s="21">
        <f>IF(OR(C42="",C42=0,E42=""),"",1-(D42/C42)^(12/E42))</f>
        <v/>
      </c>
    </row>
    <row r="43">
      <c r="A43" s="13" t="inlineStr">
        <is>
          <t>Wrekenton</t>
        </is>
      </c>
      <c r="B43" s="13" t="inlineStr">
        <is>
          <t>District Centre</t>
        </is>
      </c>
      <c r="C43" s="28" t="n"/>
      <c r="D43" s="28" t="n"/>
      <c r="E43" s="28" t="n"/>
      <c r="F43" s="30" t="n"/>
      <c r="G43" s="21">
        <f>IF(OR(C43="",C43=0,E43=""),"",1-(D43/C43)^(12/E43))</f>
        <v/>
      </c>
    </row>
    <row r="44">
      <c r="A44" s="13" t="inlineStr">
        <is>
          <t>Askew Road</t>
        </is>
      </c>
      <c r="B44" s="13" t="inlineStr">
        <is>
          <t>Local Centre</t>
        </is>
      </c>
      <c r="C44" s="28" t="n"/>
      <c r="D44" s="28" t="n"/>
      <c r="E44" s="28" t="n"/>
      <c r="F44" s="30" t="n"/>
      <c r="G44" s="21">
        <f>IF(OR(C44="",C44=0,E44=""),"",1-(D44/C44)^(12/E44))</f>
        <v/>
      </c>
    </row>
    <row r="45">
      <c r="A45" s="13" t="inlineStr">
        <is>
          <t>Chopwell</t>
        </is>
      </c>
      <c r="B45" s="13" t="inlineStr">
        <is>
          <t>Local Centre</t>
        </is>
      </c>
      <c r="C45" s="28" t="n"/>
      <c r="D45" s="28" t="n"/>
      <c r="E45" s="28" t="n"/>
      <c r="F45" s="30" t="n"/>
      <c r="G45" s="21">
        <f>IF(OR(C45="",C45=0,E45=""),"",1-(D45/C45)^(12/E45))</f>
        <v/>
      </c>
    </row>
    <row r="46">
      <c r="A46" s="13" t="inlineStr">
        <is>
          <t>Crawcrook</t>
        </is>
      </c>
      <c r="B46" s="13" t="inlineStr">
        <is>
          <t>Local Centre</t>
        </is>
      </c>
      <c r="C46" s="28" t="n"/>
      <c r="D46" s="28" t="n"/>
      <c r="E46" s="28" t="n"/>
      <c r="F46" s="30" t="n"/>
      <c r="G46" s="21">
        <f>IF(OR(C46="",C46=0,E46=""),"",1-(D46/C46)^(12/E46))</f>
        <v/>
      </c>
    </row>
    <row r="47">
      <c r="A47" s="13" t="inlineStr">
        <is>
          <t>Ellison Road</t>
        </is>
      </c>
      <c r="B47" s="13" t="inlineStr">
        <is>
          <t>Local Centre</t>
        </is>
      </c>
      <c r="C47" s="28" t="n"/>
      <c r="D47" s="28" t="n"/>
      <c r="E47" s="28" t="n"/>
      <c r="F47" s="30" t="n"/>
      <c r="G47" s="21">
        <f>IF(OR(C47="",C47=0,E47=""),"",1-(D47/C47)^(12/E47))</f>
        <v/>
      </c>
    </row>
    <row r="48">
      <c r="A48" s="13" t="inlineStr">
        <is>
          <t>Fewster Square</t>
        </is>
      </c>
      <c r="B48" s="13" t="inlineStr">
        <is>
          <t>Local Centre</t>
        </is>
      </c>
      <c r="C48" s="28" t="n"/>
      <c r="D48" s="28" t="n"/>
      <c r="E48" s="28" t="n"/>
      <c r="F48" s="30" t="n"/>
      <c r="G48" s="21">
        <f>IF(OR(C48="",C48=0,E48=""),"",1-(D48/C48)^(12/E48))</f>
        <v/>
      </c>
    </row>
    <row r="49">
      <c r="A49" s="13" t="inlineStr">
        <is>
          <t>High Spen</t>
        </is>
      </c>
      <c r="B49" s="13" t="inlineStr">
        <is>
          <t>Local Centre</t>
        </is>
      </c>
      <c r="C49" s="28" t="n"/>
      <c r="D49" s="28" t="n"/>
      <c r="E49" s="28" t="n"/>
      <c r="F49" s="30" t="n"/>
      <c r="G49" s="21">
        <f>IF(OR(C49="",C49=0,E49=""),"",1-(D49/C49)^(12/E49))</f>
        <v/>
      </c>
    </row>
    <row r="50">
      <c r="A50" s="13" t="inlineStr">
        <is>
          <t>Old Durham Road</t>
        </is>
      </c>
      <c r="B50" s="13" t="inlineStr">
        <is>
          <t>Local Centre</t>
        </is>
      </c>
      <c r="C50" s="28" t="n"/>
      <c r="D50" s="28" t="n"/>
      <c r="E50" s="28" t="n"/>
      <c r="F50" s="30" t="n"/>
      <c r="G50" s="21">
        <f>IF(OR(C50="",C50=0,E50=""),"",1-(D50/C50)^(12/E50))</f>
        <v/>
      </c>
    </row>
    <row r="51">
      <c r="A51" s="13" t="inlineStr">
        <is>
          <t>Pelaw</t>
        </is>
      </c>
      <c r="B51" s="13" t="inlineStr">
        <is>
          <t>Local Centre</t>
        </is>
      </c>
      <c r="C51" s="28" t="n"/>
      <c r="D51" s="28" t="n"/>
      <c r="E51" s="28" t="n"/>
      <c r="F51" s="30" t="n"/>
      <c r="G51" s="21">
        <f>IF(OR(C51="",C51=0,E51=""),"",1-(D51/C51)^(12/E51))</f>
        <v/>
      </c>
    </row>
    <row r="52">
      <c r="A52" s="13" t="inlineStr">
        <is>
          <t>Ravensworth Road</t>
        </is>
      </c>
      <c r="B52" s="13" t="inlineStr">
        <is>
          <t>Local Centre</t>
        </is>
      </c>
      <c r="C52" s="28" t="n"/>
      <c r="D52" s="28" t="n"/>
      <c r="E52" s="28" t="n"/>
      <c r="F52" s="30" t="n"/>
      <c r="G52" s="21">
        <f>IF(OR(C52="",C52=0,E52=""),"",1-(D52/C52)^(12/E52))</f>
        <v/>
      </c>
    </row>
    <row r="53">
      <c r="A53" s="13" t="inlineStr">
        <is>
          <t>Rowlands Gill</t>
        </is>
      </c>
      <c r="B53" s="13" t="inlineStr">
        <is>
          <t>Local Centre</t>
        </is>
      </c>
      <c r="C53" s="28" t="n"/>
      <c r="D53" s="28" t="n"/>
      <c r="E53" s="28" t="n"/>
      <c r="F53" s="30" t="n"/>
      <c r="G53" s="21">
        <f>IF(OR(C53="",C53=0,E53=""),"",1-(D53/C53)^(12/E53))</f>
        <v/>
      </c>
    </row>
    <row r="54">
      <c r="A54" s="13" t="inlineStr">
        <is>
          <t>Saltwell Road</t>
        </is>
      </c>
      <c r="B54" s="13" t="inlineStr">
        <is>
          <t>Local Centre</t>
        </is>
      </c>
      <c r="C54" s="28" t="n"/>
      <c r="D54" s="28" t="n"/>
      <c r="E54" s="28" t="n"/>
      <c r="F54" s="30" t="n"/>
      <c r="G54" s="21">
        <f>IF(OR(C54="",C54=0,E54=""),"",1-(D54/C54)^(12/E54))</f>
        <v/>
      </c>
    </row>
    <row r="55">
      <c r="A55" s="13" t="inlineStr">
        <is>
          <t>Sheriffs Highway</t>
        </is>
      </c>
      <c r="B55" s="13" t="inlineStr">
        <is>
          <t>Local Centre</t>
        </is>
      </c>
      <c r="C55" s="28" t="n"/>
      <c r="D55" s="28" t="n"/>
      <c r="E55" s="28" t="n"/>
      <c r="F55" s="30" t="n"/>
      <c r="G55" s="21">
        <f>IF(OR(C55="",C55=0,E55=""),"",1-(D55/C55)^(12/E55))</f>
        <v/>
      </c>
    </row>
    <row r="56">
      <c r="A56" s="13" t="inlineStr">
        <is>
          <t>Sunniside</t>
        </is>
      </c>
      <c r="B56" s="13" t="inlineStr">
        <is>
          <t>Local Centre</t>
        </is>
      </c>
      <c r="C56" s="28" t="n"/>
      <c r="D56" s="28" t="n"/>
      <c r="E56" s="28" t="n"/>
      <c r="F56" s="30" t="n"/>
      <c r="G56" s="21">
        <f>IF(OR(C56="",C56=0,E56=""),"",1-(D56/C56)^(12/E56))</f>
        <v/>
      </c>
    </row>
    <row r="57">
      <c r="A57" s="13" t="inlineStr">
        <is>
          <t>Swalwell</t>
        </is>
      </c>
      <c r="B57" s="13" t="inlineStr">
        <is>
          <t>Local Centre</t>
        </is>
      </c>
      <c r="C57" s="28" t="n"/>
      <c r="D57" s="28" t="n"/>
      <c r="E57" s="28" t="n"/>
      <c r="F57" s="30" t="n"/>
      <c r="G57" s="21">
        <f>IF(OR(C57="",C57=0,E57=""),"",1-(D57/C57)^(12/E57))</f>
        <v/>
      </c>
    </row>
    <row r="58">
      <c r="A58" s="13" t="inlineStr">
        <is>
          <t>Winlaton</t>
        </is>
      </c>
      <c r="B58" s="13" t="inlineStr">
        <is>
          <t>Local Centre</t>
        </is>
      </c>
      <c r="C58" s="28" t="n"/>
      <c r="D58" s="28" t="n"/>
      <c r="E58" s="28" t="n"/>
      <c r="F58" s="30" t="n"/>
      <c r="G58" s="21">
        <f>IF(OR(C58="",C58=0,E58=""),"",1-(D58/C58)^(12/E58))</f>
        <v/>
      </c>
    </row>
    <row r="59">
      <c r="A59" s="13" t="inlineStr">
        <is>
          <t>Outside the hierarchy</t>
        </is>
      </c>
      <c r="B59" s="13" t="inlineStr">
        <is>
          <t>Outside the hierarchy</t>
        </is>
      </c>
      <c r="C59" s="28" t="n"/>
      <c r="D59" s="28" t="n"/>
      <c r="E59" s="28" t="n"/>
      <c r="F59" s="30" t="n"/>
      <c r="G59" s="21">
        <f>IF(OR(C59="",C59=0,E59=""),"",1-(D59/C59)^(12/E59))</f>
        <v/>
      </c>
    </row>
  </sheetData>
  <conditionalFormatting sqref="F5:F16">
    <cfRule type="expression" priority="1" dxfId="0">
      <formula>F5="Due for update"</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99"/>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34" customWidth="1" min="3" max="3"/>
    <col width="24" customWidth="1" min="4" max="4"/>
    <col width="14" customWidth="1" min="5" max="5"/>
    <col width="10" customWidth="1" min="6" max="6"/>
    <col width="12" customWidth="1" min="7" max="7"/>
    <col width="10" customWidth="1" min="8" max="8"/>
    <col width="10" customWidth="1" min="9" max="9"/>
    <col width="7" customWidth="1" min="10" max="10"/>
    <col width="11" customWidth="1" min="11" max="11"/>
    <col width="24" customWidth="1" min="12" max="12"/>
    <col width="9" customWidth="1" min="13" max="13"/>
    <col width="12" customWidth="1" min="14" max="14"/>
    <col width="12" customWidth="1" min="15" max="15"/>
    <col width="12" customWidth="1" min="16" max="16"/>
    <col width="8" customWidth="1" min="17" max="17"/>
    <col width="34" customWidth="1" min="18" max="18"/>
    <col width="22" customWidth="1" min="19" max="19"/>
    <col width="22" customWidth="1" min="20" max="20"/>
    <col width="40" customWidth="1" min="21" max="21"/>
    <col width="50" customWidth="1" min="22" max="22"/>
    <col width="12" customWidth="1" min="23" max="23"/>
  </cols>
  <sheetData>
    <row r="1">
      <c r="A1" s="1" t="inlineStr">
        <is>
          <t>Assumptions</t>
        </is>
      </c>
    </row>
    <row r="2">
      <c r="A2" s="5" t="inlineStr">
        <is>
          <t>From the approved register (research/register). The sheet is protected. Change a value only through the Local override column, with a reason; Results shows any override.</t>
        </is>
      </c>
    </row>
    <row r="4">
      <c r="A4" s="6" t="inlineStr">
        <is>
          <t>ID</t>
        </is>
      </c>
      <c r="B4" s="6" t="inlineStr">
        <is>
          <t>Stream</t>
        </is>
      </c>
      <c r="C4" s="6" t="inlineStr">
        <is>
          <t>Parameter</t>
        </is>
      </c>
      <c r="D4" s="6" t="inlineStr">
        <is>
          <t>Applies to</t>
        </is>
      </c>
      <c r="E4" s="6" t="inlineStr">
        <is>
          <t>Unit</t>
        </is>
      </c>
      <c r="F4" s="6" t="inlineStr">
        <is>
          <t>Low</t>
        </is>
      </c>
      <c r="G4" s="6" t="inlineStr">
        <is>
          <t>Central</t>
        </is>
      </c>
      <c r="H4" s="6" t="inlineStr">
        <is>
          <t>High</t>
        </is>
      </c>
      <c r="I4" s="6" t="inlineStr">
        <is>
          <t>Pessimistic end</t>
        </is>
      </c>
      <c r="J4" s="6" t="inlineStr">
        <is>
          <t>Grade</t>
        </is>
      </c>
      <c r="K4" s="6" t="inlineStr">
        <is>
          <t>Local override</t>
        </is>
      </c>
      <c r="L4" s="6" t="inlineStr">
        <is>
          <t>Override reason</t>
        </is>
      </c>
      <c r="M4" s="6" t="inlineStr">
        <is>
          <t>Override grade</t>
        </is>
      </c>
      <c r="N4" s="6" t="inlineStr">
        <is>
          <t>Value, low scenario</t>
        </is>
      </c>
      <c r="O4" s="6" t="inlineStr">
        <is>
          <t>Value, central</t>
        </is>
      </c>
      <c r="P4" s="6" t="inlineStr">
        <is>
          <t>Value, high scenario</t>
        </is>
      </c>
      <c r="Q4" s="6" t="inlineStr">
        <is>
          <t>Grade used</t>
        </is>
      </c>
      <c r="R4" s="6" t="inlineStr">
        <is>
          <t>Source</t>
        </is>
      </c>
      <c r="S4" s="6" t="inlineStr">
        <is>
          <t>Edition</t>
        </is>
      </c>
      <c r="T4" s="6" t="inlineStr">
        <is>
          <t>Location</t>
        </is>
      </c>
      <c r="U4" s="6" t="inlineStr">
        <is>
          <t>Quote</t>
        </is>
      </c>
      <c r="V4" s="6" t="inlineStr">
        <is>
          <t>Notes</t>
        </is>
      </c>
      <c r="W4" s="6" t="inlineStr">
        <is>
          <t>Link</t>
        </is>
      </c>
    </row>
    <row r="5">
      <c r="A5" s="34" t="inlineStr">
        <is>
          <t>A1</t>
        </is>
      </c>
      <c r="B5" s="34" t="inlineStr">
        <is>
          <t>Prices and time</t>
        </is>
      </c>
      <c r="C5" s="35" t="inlineStr">
        <is>
          <t>Discount rate (social time preference rate)</t>
        </is>
      </c>
      <c r="D5" s="35" t="inlineStr">
        <is>
          <t>All costs and non-wellbeing benefits</t>
        </is>
      </c>
      <c r="E5" s="34" t="inlineStr">
        <is>
          <t>% a year</t>
        </is>
      </c>
      <c r="F5" s="34" t="n"/>
      <c r="G5" s="34" t="n">
        <v>3.5</v>
      </c>
      <c r="H5" s="34" t="n"/>
      <c r="I5" s="34" t="inlineStr"/>
      <c r="J5" s="34" t="inlineStr">
        <is>
          <t>Rule</t>
        </is>
      </c>
      <c r="K5" s="9" t="n"/>
      <c r="L5" s="9" t="n"/>
      <c r="M5" s="9" t="n"/>
      <c r="N5" s="36">
        <f>IF(K5&lt;&gt;"",K5,IF(I5="high",IF(H5="",G5,H5),IF(I5="low",IF(F5="",G5,F5),G5)))</f>
        <v/>
      </c>
      <c r="O5" s="36">
        <f>IF(K5&lt;&gt;"",K5,G5)</f>
        <v/>
      </c>
      <c r="P5" s="36">
        <f>IF(K5&lt;&gt;"",K5,IF(I5="high",IF(F5="",G5,F5),IF(I5="low",IF(H5="",G5,H5),G5)))</f>
        <v/>
      </c>
      <c r="Q5" s="36">
        <f>IF(M5&lt;&gt;"",M5,J5)</f>
        <v/>
      </c>
      <c r="R5" s="37" t="inlineStr">
        <is>
          <t>HM Treasury, Green Book 2026</t>
        </is>
      </c>
      <c r="S5" s="37" t="inlineStr">
        <is>
          <t>February 2026</t>
        </is>
      </c>
      <c r="T5" s="37" t="inlineStr">
        <is>
          <t>6.54; discounting guidance 2.1</t>
        </is>
      </c>
      <c r="U5" s="37" t="inlineStr">
        <is>
          <t>3.5% in real terms for short-term proposals</t>
        </is>
      </c>
      <c r="V5" s="37" t="inlineStr">
        <is>
          <t>Watch item. The Chancellor has announced a cut to 3.0% and further Green Book reforms at the 28 October 2026 Budget (GOV.UK news, 'PM puts communities first in government investment rules shake up', 22 October 2026). The published Green Book still says 3.5%, so 3.5% stays until the revised guidance is published; editable in Settings</t>
        </is>
      </c>
      <c r="W5" s="38" t="inlineStr">
        <is>
          <t>Open source</t>
        </is>
      </c>
    </row>
    <row r="6">
      <c r="A6" s="34" t="inlineStr">
        <is>
          <t>A2</t>
        </is>
      </c>
      <c r="B6" s="34" t="inlineStr">
        <is>
          <t>Prices and time</t>
        </is>
      </c>
      <c r="C6" s="35" t="inlineStr">
        <is>
          <t>Health discount rate for wellbeing values</t>
        </is>
      </c>
      <c r="D6" s="35" t="inlineStr">
        <is>
          <t>All WELLBY-based values</t>
        </is>
      </c>
      <c r="E6" s="34" t="inlineStr">
        <is>
          <t>% a year</t>
        </is>
      </c>
      <c r="F6" s="34" t="n"/>
      <c r="G6" s="34" t="n">
        <v>1.5</v>
      </c>
      <c r="H6" s="34" t="n"/>
      <c r="I6" s="34" t="inlineStr"/>
      <c r="J6" s="34" t="inlineStr">
        <is>
          <t>Rule</t>
        </is>
      </c>
      <c r="K6" s="9" t="n"/>
      <c r="L6" s="9" t="n"/>
      <c r="M6" s="9" t="n"/>
      <c r="N6" s="36">
        <f>IF(K6&lt;&gt;"",K6,IF(I6="high",IF(H6="",G6,H6),IF(I6="low",IF(F6="",G6,F6),G6)))</f>
        <v/>
      </c>
      <c r="O6" s="36">
        <f>IF(K6&lt;&gt;"",K6,G6)</f>
        <v/>
      </c>
      <c r="P6" s="36">
        <f>IF(K6&lt;&gt;"",K6,IF(I6="high",IF(F6="",G6,F6),IF(I6="low",IF(H6="",G6,H6),G6)))</f>
        <v/>
      </c>
      <c r="Q6" s="36">
        <f>IF(M6&lt;&gt;"",M6,J6)</f>
        <v/>
      </c>
      <c r="R6" s="37" t="inlineStr">
        <is>
          <t>HM Treasury, Green Book supplementary guidance: discounting</t>
        </is>
      </c>
      <c r="S6" s="37" t="inlineStr">
        <is>
          <t>February 2026</t>
        </is>
      </c>
      <c r="T6" s="37" t="inlineStr">
        <is>
          <t>2.16 to 2.17</t>
        </is>
      </c>
      <c r="U6" s="37" t="inlineStr">
        <is>
          <t>These health and life effects should be discounted at a lower rate of 1.5%</t>
        </is>
      </c>
      <c r="V6" s="37" t="inlineStr"/>
      <c r="W6" s="38" t="inlineStr">
        <is>
          <t>Open source</t>
        </is>
      </c>
    </row>
    <row r="7">
      <c r="A7" s="34" t="inlineStr">
        <is>
          <t>A3</t>
        </is>
      </c>
      <c r="B7" s="34" t="inlineStr">
        <is>
          <t>Prices and time</t>
        </is>
      </c>
      <c r="C7" s="35" t="inlineStr">
        <is>
          <t>Price base</t>
        </is>
      </c>
      <c r="D7" s="35" t="inlineStr">
        <is>
          <t>All £ values</t>
        </is>
      </c>
      <c r="E7" s="34" t="inlineStr">
        <is>
          <t>year</t>
        </is>
      </c>
      <c r="F7" s="34" t="n"/>
      <c r="G7" s="34" t="inlineStr">
        <is>
          <t>2026-27</t>
        </is>
      </c>
      <c r="H7" s="34" t="n"/>
      <c r="I7" s="34" t="inlineStr"/>
      <c r="J7" s="34" t="inlineStr">
        <is>
          <t>Rule</t>
        </is>
      </c>
      <c r="K7" s="9" t="n"/>
      <c r="L7" s="9" t="n"/>
      <c r="M7" s="9" t="n"/>
      <c r="N7" s="36">
        <f>IF(K7&lt;&gt;"",K7,IF(I7="high",IF(H7="",G7,H7),IF(I7="low",IF(F7="",G7,F7),G7)))</f>
        <v/>
      </c>
      <c r="O7" s="36">
        <f>IF(K7&lt;&gt;"",K7,G7)</f>
        <v/>
      </c>
      <c r="P7" s="36">
        <f>IF(K7&lt;&gt;"",K7,IF(I7="high",IF(F7="",G7,F7),IF(I7="low",IF(H7="",G7,H7),G7)))</f>
        <v/>
      </c>
      <c r="Q7" s="36">
        <f>IF(M7&lt;&gt;"",M7,J7)</f>
        <v/>
      </c>
      <c r="R7" s="37" t="inlineStr">
        <is>
          <t>HM Treasury GDP deflators, September 2026 (Quarterly National Accounts)</t>
        </is>
      </c>
      <c r="S7" s="37" t="inlineStr">
        <is>
          <t>1 October 2026</t>
        </is>
      </c>
      <c r="T7" s="37" t="inlineStr">
        <is>
          <t>Financial-year and calendar-year columns</t>
        </is>
      </c>
      <c r="U7" s="37" t="inlineStr">
        <is>
          <t>Outturn data are as at the Quarterly National Accounts from ONS - last updated 30 September 2026. Forecast data are consistent with OBR EFO data as at the Spring Statement 3 March 2026.</t>
        </is>
      </c>
      <c r="V7" s="37" t="inlineStr">
        <is>
          <t>2026-27 index 102.006 (2025-26 = 100), calendar 2026 index 102.183 (2025 = 100), both from OBR forecast growth. A new file is likely after the 28 October 2026 Budget</t>
        </is>
      </c>
      <c r="W7" s="38" t="inlineStr">
        <is>
          <t>Open source</t>
        </is>
      </c>
    </row>
    <row r="8">
      <c r="A8" s="34" t="inlineStr">
        <is>
          <t>A4</t>
        </is>
      </c>
      <c r="B8" s="34" t="inlineStr">
        <is>
          <t>Prices and time</t>
        </is>
      </c>
      <c r="C8" s="35" t="inlineStr">
        <is>
          <t>Uprating factor, 2019 calendar prices to 2026</t>
        </is>
      </c>
      <c r="D8" s="35" t="inlineStr">
        <is>
          <t>Values quoted in 2019 prices</t>
        </is>
      </c>
      <c r="E8" s="34" t="inlineStr">
        <is>
          <t>multiplier</t>
        </is>
      </c>
      <c r="F8" s="34" t="n"/>
      <c r="G8" s="34" t="n">
        <v>1.3043</v>
      </c>
      <c r="H8" s="34" t="n"/>
      <c r="I8" s="34" t="inlineStr"/>
      <c r="J8" s="34" t="inlineStr">
        <is>
          <t>Rule</t>
        </is>
      </c>
      <c r="K8" s="9" t="n"/>
      <c r="L8" s="9" t="n"/>
      <c r="M8" s="9" t="n"/>
      <c r="N8" s="36">
        <f>IF(K8&lt;&gt;"",K8,IF(I8="high",IF(H8="",G8,H8),IF(I8="low",IF(F8="",G8,F8),G8)))</f>
        <v/>
      </c>
      <c r="O8" s="36">
        <f>IF(K8&lt;&gt;"",K8,G8)</f>
        <v/>
      </c>
      <c r="P8" s="36">
        <f>IF(K8&lt;&gt;"",K8,IF(I8="high",IF(F8="",G8,F8),IF(I8="low",IF(H8="",G8,H8),G8)))</f>
        <v/>
      </c>
      <c r="Q8" s="36">
        <f>IF(M8&lt;&gt;"",M8,J8)</f>
        <v/>
      </c>
      <c r="R8" s="37" t="inlineStr">
        <is>
          <t>HM Treasury GDP deflators, September 2026</t>
        </is>
      </c>
      <c r="S8" s="37" t="inlineStr">
        <is>
          <t>1 October 2026</t>
        </is>
      </c>
      <c r="T8" s="37" t="inlineStr">
        <is>
          <t>Calendar-year column (ONS series MNF2)</t>
        </is>
      </c>
      <c r="U8" s="37" t="inlineStr">
        <is>
          <t>2019 = 78.3418; 2026 = 102.183 (2025 = 100)</t>
        </is>
      </c>
      <c r="V8" s="37" t="inlineStr">
        <is>
          <t>Our calculation</t>
        </is>
      </c>
      <c r="W8" s="38" t="inlineStr">
        <is>
          <t>Open source</t>
        </is>
      </c>
    </row>
    <row r="9">
      <c r="A9" s="34" t="inlineStr">
        <is>
          <t>A5</t>
        </is>
      </c>
      <c r="B9" s="34" t="inlineStr">
        <is>
          <t>Prices and time</t>
        </is>
      </c>
      <c r="C9" s="35" t="inlineStr">
        <is>
          <t>WELLBY uprating factor, 2019 to 2026 prices and 2025 values</t>
        </is>
      </c>
      <c r="D9" s="35" t="inlineStr">
        <is>
          <t>All WELLBY-based values in 2019 prices</t>
        </is>
      </c>
      <c r="E9" s="34" t="inlineStr">
        <is>
          <t>multiplier</t>
        </is>
      </c>
      <c r="F9" s="34" t="n"/>
      <c r="G9" s="34" t="n">
        <v>1.3221</v>
      </c>
      <c r="H9" s="34" t="n"/>
      <c r="I9" s="34" t="inlineStr"/>
      <c r="J9" s="34" t="inlineStr">
        <is>
          <t>Rule</t>
        </is>
      </c>
      <c r="K9" s="9" t="n"/>
      <c r="L9" s="9" t="n"/>
      <c r="M9" s="9" t="n"/>
      <c r="N9" s="36">
        <f>IF(K9&lt;&gt;"",K9,IF(I9="high",IF(H9="",G9,H9),IF(I9="low",IF(F9="",G9,F9),G9)))</f>
        <v/>
      </c>
      <c r="O9" s="36">
        <f>IF(K9&lt;&gt;"",K9,G9)</f>
        <v/>
      </c>
      <c r="P9" s="36">
        <f>IF(K9&lt;&gt;"",K9,IF(I9="high",IF(F9="",G9,F9),IF(I9="low",IF(H9="",G9,H9),G9)))</f>
        <v/>
      </c>
      <c r="Q9" s="36">
        <f>IF(M9&lt;&gt;"",M9,J9)</f>
        <v/>
      </c>
      <c r="R9" s="37" t="inlineStr">
        <is>
          <t>HM Treasury, Wellbeing Guidance for Appraisal (2021), Annex 2; ONS IHXW</t>
        </is>
      </c>
      <c r="S9" s="37" t="inlineStr">
        <is>
          <t>Guidance July 2021; IHXW released 30 September 2026</t>
        </is>
      </c>
      <c r="T9" s="37" t="inlineStr">
        <is>
          <t>Annex 2 uprating formula</t>
        </is>
      </c>
      <c r="U9" s="37" t="inlineStr">
        <is>
          <t>the WELLBY value should always be uprated to the appraisal base year using the formula above</t>
        </is>
      </c>
      <c r="V9" s="37" t="inlineStr">
        <is>
          <t>Deflator ratio 1.3043 x (real GDP per head 2025 42,313 / 2019 41,875) ^ 1.3. Real growth to 2025, the latest outturn year; our calculation</t>
        </is>
      </c>
      <c r="W9" s="38" t="inlineStr">
        <is>
          <t>Open source</t>
        </is>
      </c>
    </row>
    <row r="10">
      <c r="A10" s="34" t="inlineStr">
        <is>
          <t>A6</t>
        </is>
      </c>
      <c r="B10" s="34" t="inlineStr">
        <is>
          <t>Prices and time</t>
        </is>
      </c>
      <c r="C10" s="35" t="inlineStr">
        <is>
          <t>Value of one WELLBY</t>
        </is>
      </c>
      <c r="D10" s="35" t="inlineStr">
        <is>
          <t>Wellbeing values</t>
        </is>
      </c>
      <c r="E10" s="34" t="inlineStr">
        <is>
          <t>£ per WELLBY</t>
        </is>
      </c>
      <c r="F10" s="34" t="n">
        <v>13220.8743</v>
      </c>
      <c r="G10" s="34" t="n">
        <v>17187.1366</v>
      </c>
      <c r="H10" s="34" t="n">
        <v>21153.3988</v>
      </c>
      <c r="I10" s="34" t="inlineStr">
        <is>
          <t>low</t>
        </is>
      </c>
      <c r="J10" s="34" t="inlineStr">
        <is>
          <t>Rule</t>
        </is>
      </c>
      <c r="K10" s="9" t="n"/>
      <c r="L10" s="9" t="n"/>
      <c r="M10" s="9" t="n"/>
      <c r="N10" s="36">
        <f>IF(K10&lt;&gt;"",K10,IF(I10="high",IF(H10="",G10,H10),IF(I10="low",IF(F10="",G10,F10),G10)))</f>
        <v/>
      </c>
      <c r="O10" s="36">
        <f>IF(K10&lt;&gt;"",K10,G10)</f>
        <v/>
      </c>
      <c r="P10" s="36">
        <f>IF(K10&lt;&gt;"",K10,IF(I10="high",IF(F10="",G10,F10),IF(I10="low",IF(H10="",G10,H10),G10)))</f>
        <v/>
      </c>
      <c r="Q10" s="36">
        <f>IF(M10&lt;&gt;"",M10,J10)</f>
        <v/>
      </c>
      <c r="R10" s="37" t="inlineStr">
        <is>
          <t>HM Treasury, Wellbeing Guidance for Appraisal (2021)</t>
        </is>
      </c>
      <c r="S10" s="37" t="inlineStr">
        <is>
          <t>July 2021 (page updated 18 November 2022)</t>
        </is>
      </c>
      <c r="T10" s="37" t="inlineStr">
        <is>
          <t>Box 7 and Annex 2</t>
        </is>
      </c>
      <c r="U10" s="37" t="inlineStr">
        <is>
          <t>multiplying by £13,000 [Low: £10,000, High £16,000]. This is the recommended standard value of one wellbeing adjusted life year</t>
        </is>
      </c>
      <c r="V10" s="37" t="inlineStr">
        <is>
          <t>2019 values £10,000 / £13,000 / £16,000 uprated by A5</t>
        </is>
      </c>
      <c r="W10" s="38" t="inlineStr">
        <is>
          <t>Open source</t>
        </is>
      </c>
    </row>
    <row r="11">
      <c r="A11" s="34" t="inlineStr">
        <is>
          <t>A7</t>
        </is>
      </c>
      <c r="B11" s="34" t="inlineStr">
        <is>
          <t>Prices and time</t>
        </is>
      </c>
      <c r="C11" s="35" t="inlineStr">
        <is>
          <t>Appraisal period</t>
        </is>
      </c>
      <c r="D11" s="35" t="inlineStr">
        <is>
          <t>All proposals</t>
        </is>
      </c>
      <c r="E11" s="34" t="inlineStr">
        <is>
          <t>years</t>
        </is>
      </c>
      <c r="F11" s="34" t="n"/>
      <c r="G11" s="34" t="inlineStr">
        <is>
          <t>Occupation period</t>
        </is>
      </c>
      <c r="H11" s="34" t="n"/>
      <c r="I11" s="34" t="inlineStr"/>
      <c r="J11" s="34" t="inlineStr">
        <is>
          <t>Rule</t>
        </is>
      </c>
      <c r="K11" s="9" t="n"/>
      <c r="L11" s="9" t="n"/>
      <c r="M11" s="9" t="n"/>
      <c r="N11" s="36">
        <f>IF(K11&lt;&gt;"",K11,IF(I11="high",IF(H11="",G11,H11),IF(I11="low",IF(F11="",G11,F11),G11)))</f>
        <v/>
      </c>
      <c r="O11" s="36">
        <f>IF(K11&lt;&gt;"",K11,G11)</f>
        <v/>
      </c>
      <c r="P11" s="36">
        <f>IF(K11&lt;&gt;"",K11,IF(I11="high",IF(F11="",G11,F11),IF(I11="low",IF(H11="",G11,H11),G11)))</f>
        <v/>
      </c>
      <c r="Q11" s="36">
        <f>IF(M11&lt;&gt;"",M11,J11)</f>
        <v/>
      </c>
      <c r="R11" s="37" t="inlineStr">
        <is>
          <t>HM Treasury, Green Book 2026</t>
        </is>
      </c>
      <c r="S11" s="37" t="inlineStr">
        <is>
          <t>February 2026</t>
        </is>
      </c>
      <c r="T11" s="37" t="inlineStr">
        <is>
          <t>6.11 and 6.13</t>
        </is>
      </c>
      <c r="U11" s="37" t="inlineStr">
        <is>
          <t>short defined-period proposals should consider the end of the contract (paraphrase of 6.13)</t>
        </is>
      </c>
      <c r="V11" s="37" t="inlineStr">
        <is>
          <t>Decision 11. Anything after the occupation period goes through the legacy switch (rows L1 to L3)</t>
        </is>
      </c>
      <c r="W11" s="38" t="inlineStr">
        <is>
          <t>Open source</t>
        </is>
      </c>
    </row>
    <row r="12">
      <c r="A12" s="34" t="inlineStr">
        <is>
          <t>C1</t>
        </is>
      </c>
      <c r="B12" s="34" t="inlineStr">
        <is>
          <t>Confidence and optimism bias</t>
        </is>
      </c>
      <c r="C12" s="35" t="inlineStr">
        <is>
          <t>Confidence grade 1: benefit reduction and cost uplift</t>
        </is>
      </c>
      <c r="D12" s="35" t="inlineStr">
        <is>
          <t>Benefit streams, and revenue cost lines other than C7 and C8</t>
        </is>
      </c>
      <c r="E12" s="34" t="inlineStr">
        <is>
          <t>%</t>
        </is>
      </c>
      <c r="F12" s="34" t="n"/>
      <c r="G12" s="34" t="inlineStr">
        <is>
          <t>benefits -0%, costs +0%</t>
        </is>
      </c>
      <c r="H12" s="34" t="n"/>
      <c r="I12" s="34" t="inlineStr"/>
      <c r="J12" s="34" t="inlineStr">
        <is>
          <t>Rule</t>
        </is>
      </c>
      <c r="K12" s="9" t="n"/>
      <c r="L12" s="9" t="n"/>
      <c r="M12" s="9" t="n"/>
      <c r="N12" s="36">
        <f>IF(K12&lt;&gt;"",K12,IF(I12="high",IF(H12="",G12,H12),IF(I12="low",IF(F12="",G12,F12),G12)))</f>
        <v/>
      </c>
      <c r="O12" s="36">
        <f>IF(K12&lt;&gt;"",K12,G12)</f>
        <v/>
      </c>
      <c r="P12" s="36">
        <f>IF(K12&lt;&gt;"",K12,IF(I12="high",IF(F12="",G12,F12),IF(I12="low",IF(H12="",G12,H12),G12)))</f>
        <v/>
      </c>
      <c r="Q12" s="36">
        <f>IF(M12&lt;&gt;"",M12,J12)</f>
        <v/>
      </c>
      <c r="R12" s="37" t="inlineStr">
        <is>
          <t>HM Treasury, Supporting public service transformation: CBA guidance for local partnerships</t>
        </is>
      </c>
      <c r="S12" s="37" t="inlineStr">
        <is>
          <t>April 2014</t>
        </is>
      </c>
      <c r="T12" s="37" t="inlineStr">
        <is>
          <t>Tables 7.A and 7.B; 7.18 to 7.19</t>
        </is>
      </c>
      <c r="U12" s="37" t="inlineStr">
        <is>
          <t>The confidence grade which the CBA model applies to the data is determined by the lowest assessment in any of the descriptive columns.</t>
        </is>
      </c>
      <c r="V12" s="37" t="inlineStr">
        <is>
          <t>Displayed as High (1 to 2), Medium (3 to 4), Low (5 to 6). Decision 4. Applied literally in this register, so data over 5 years old is grade 6</t>
        </is>
      </c>
      <c r="W12" s="38" t="inlineStr">
        <is>
          <t>Open source</t>
        </is>
      </c>
    </row>
    <row r="13">
      <c r="A13" s="34" t="inlineStr">
        <is>
          <t>C2</t>
        </is>
      </c>
      <c r="B13" s="34" t="inlineStr">
        <is>
          <t>Confidence and optimism bias</t>
        </is>
      </c>
      <c r="C13" s="35" t="inlineStr">
        <is>
          <t>Confidence grade 2: benefit reduction and cost uplift</t>
        </is>
      </c>
      <c r="D13" s="35" t="inlineStr">
        <is>
          <t>Benefit streams, and revenue cost lines other than C7 and C8</t>
        </is>
      </c>
      <c r="E13" s="34" t="inlineStr">
        <is>
          <t>%</t>
        </is>
      </c>
      <c r="F13" s="34" t="n"/>
      <c r="G13" s="34" t="inlineStr">
        <is>
          <t>benefits -5%, costs +5%</t>
        </is>
      </c>
      <c r="H13" s="34" t="n"/>
      <c r="I13" s="34" t="inlineStr"/>
      <c r="J13" s="34" t="inlineStr">
        <is>
          <t>Rule</t>
        </is>
      </c>
      <c r="K13" s="9" t="n"/>
      <c r="L13" s="9" t="n"/>
      <c r="M13" s="9" t="n"/>
      <c r="N13" s="36">
        <f>IF(K13&lt;&gt;"",K13,IF(I13="high",IF(H13="",G13,H13),IF(I13="low",IF(F13="",G13,F13),G13)))</f>
        <v/>
      </c>
      <c r="O13" s="36">
        <f>IF(K13&lt;&gt;"",K13,G13)</f>
        <v/>
      </c>
      <c r="P13" s="36">
        <f>IF(K13&lt;&gt;"",K13,IF(I13="high",IF(F13="",G13,F13),IF(I13="low",IF(H13="",G13,H13),G13)))</f>
        <v/>
      </c>
      <c r="Q13" s="36">
        <f>IF(M13&lt;&gt;"",M13,J13)</f>
        <v/>
      </c>
      <c r="R13" s="37" t="inlineStr">
        <is>
          <t>HM Treasury, Supporting public service transformation: CBA guidance for local partnerships</t>
        </is>
      </c>
      <c r="S13" s="37" t="inlineStr">
        <is>
          <t>April 2014</t>
        </is>
      </c>
      <c r="T13" s="37" t="inlineStr">
        <is>
          <t>Tables 7.A and 7.B; 7.18 to 7.19</t>
        </is>
      </c>
      <c r="U13" s="37" t="inlineStr">
        <is>
          <t>The confidence grade which the CBA model applies to the data is determined by the lowest assessment in any of the descriptive columns.</t>
        </is>
      </c>
      <c r="V13" s="37" t="inlineStr">
        <is>
          <t>Displayed as High (1 to 2), Medium (3 to 4), Low (5 to 6). Decision 4. Applied literally in this register, so data over 5 years old is grade 6</t>
        </is>
      </c>
      <c r="W13" s="38" t="inlineStr">
        <is>
          <t>Open source</t>
        </is>
      </c>
    </row>
    <row r="14">
      <c r="A14" s="34" t="inlineStr">
        <is>
          <t>C3</t>
        </is>
      </c>
      <c r="B14" s="34" t="inlineStr">
        <is>
          <t>Confidence and optimism bias</t>
        </is>
      </c>
      <c r="C14" s="35" t="inlineStr">
        <is>
          <t>Confidence grade 3: benefit reduction and cost uplift</t>
        </is>
      </c>
      <c r="D14" s="35" t="inlineStr">
        <is>
          <t>Benefit streams, and revenue cost lines other than C7 and C8</t>
        </is>
      </c>
      <c r="E14" s="34" t="inlineStr">
        <is>
          <t>%</t>
        </is>
      </c>
      <c r="F14" s="34" t="n"/>
      <c r="G14" s="34" t="inlineStr">
        <is>
          <t>benefits -10%, costs +10%</t>
        </is>
      </c>
      <c r="H14" s="34" t="n"/>
      <c r="I14" s="34" t="inlineStr"/>
      <c r="J14" s="34" t="inlineStr">
        <is>
          <t>Rule</t>
        </is>
      </c>
      <c r="K14" s="9" t="n"/>
      <c r="L14" s="9" t="n"/>
      <c r="M14" s="9" t="n"/>
      <c r="N14" s="36">
        <f>IF(K14&lt;&gt;"",K14,IF(I14="high",IF(H14="",G14,H14),IF(I14="low",IF(F14="",G14,F14),G14)))</f>
        <v/>
      </c>
      <c r="O14" s="36">
        <f>IF(K14&lt;&gt;"",K14,G14)</f>
        <v/>
      </c>
      <c r="P14" s="36">
        <f>IF(K14&lt;&gt;"",K14,IF(I14="high",IF(F14="",G14,F14),IF(I14="low",IF(H14="",G14,H14),G14)))</f>
        <v/>
      </c>
      <c r="Q14" s="36">
        <f>IF(M14&lt;&gt;"",M14,J14)</f>
        <v/>
      </c>
      <c r="R14" s="37" t="inlineStr">
        <is>
          <t>HM Treasury, Supporting public service transformation: CBA guidance for local partnerships</t>
        </is>
      </c>
      <c r="S14" s="37" t="inlineStr">
        <is>
          <t>April 2014</t>
        </is>
      </c>
      <c r="T14" s="37" t="inlineStr">
        <is>
          <t>Tables 7.A and 7.B; 7.18 to 7.19</t>
        </is>
      </c>
      <c r="U14" s="37" t="inlineStr">
        <is>
          <t>The confidence grade which the CBA model applies to the data is determined by the lowest assessment in any of the descriptive columns.</t>
        </is>
      </c>
      <c r="V14" s="37" t="inlineStr">
        <is>
          <t>Displayed as High (1 to 2), Medium (3 to 4), Low (5 to 6). Decision 4. Applied literally in this register, so data over 5 years old is grade 6</t>
        </is>
      </c>
      <c r="W14" s="38" t="inlineStr">
        <is>
          <t>Open source</t>
        </is>
      </c>
    </row>
    <row r="15">
      <c r="A15" s="34" t="inlineStr">
        <is>
          <t>C4</t>
        </is>
      </c>
      <c r="B15" s="34" t="inlineStr">
        <is>
          <t>Confidence and optimism bias</t>
        </is>
      </c>
      <c r="C15" s="35" t="inlineStr">
        <is>
          <t>Confidence grade 4: benefit reduction and cost uplift</t>
        </is>
      </c>
      <c r="D15" s="35" t="inlineStr">
        <is>
          <t>Benefit streams, and revenue cost lines other than C7 and C8</t>
        </is>
      </c>
      <c r="E15" s="34" t="inlineStr">
        <is>
          <t>%</t>
        </is>
      </c>
      <c r="F15" s="34" t="n"/>
      <c r="G15" s="34" t="inlineStr">
        <is>
          <t>benefits -15%, costs +15%</t>
        </is>
      </c>
      <c r="H15" s="34" t="n"/>
      <c r="I15" s="34" t="inlineStr"/>
      <c r="J15" s="34" t="inlineStr">
        <is>
          <t>Rule</t>
        </is>
      </c>
      <c r="K15" s="9" t="n"/>
      <c r="L15" s="9" t="n"/>
      <c r="M15" s="9" t="n"/>
      <c r="N15" s="36">
        <f>IF(K15&lt;&gt;"",K15,IF(I15="high",IF(H15="",G15,H15),IF(I15="low",IF(F15="",G15,F15),G15)))</f>
        <v/>
      </c>
      <c r="O15" s="36">
        <f>IF(K15&lt;&gt;"",K15,G15)</f>
        <v/>
      </c>
      <c r="P15" s="36">
        <f>IF(K15&lt;&gt;"",K15,IF(I15="high",IF(F15="",G15,F15),IF(I15="low",IF(H15="",G15,H15),G15)))</f>
        <v/>
      </c>
      <c r="Q15" s="36">
        <f>IF(M15&lt;&gt;"",M15,J15)</f>
        <v/>
      </c>
      <c r="R15" s="37" t="inlineStr">
        <is>
          <t>HM Treasury, Supporting public service transformation: CBA guidance for local partnerships</t>
        </is>
      </c>
      <c r="S15" s="37" t="inlineStr">
        <is>
          <t>April 2014</t>
        </is>
      </c>
      <c r="T15" s="37" t="inlineStr">
        <is>
          <t>Tables 7.A and 7.B; 7.18 to 7.19</t>
        </is>
      </c>
      <c r="U15" s="37" t="inlineStr">
        <is>
          <t>The confidence grade which the CBA model applies to the data is determined by the lowest assessment in any of the descriptive columns.</t>
        </is>
      </c>
      <c r="V15" s="37" t="inlineStr">
        <is>
          <t>Displayed as High (1 to 2), Medium (3 to 4), Low (5 to 6). Decision 4. Applied literally in this register, so data over 5 years old is grade 6</t>
        </is>
      </c>
      <c r="W15" s="38" t="inlineStr">
        <is>
          <t>Open source</t>
        </is>
      </c>
    </row>
    <row r="16">
      <c r="A16" s="34" t="inlineStr">
        <is>
          <t>C5</t>
        </is>
      </c>
      <c r="B16" s="34" t="inlineStr">
        <is>
          <t>Confidence and optimism bias</t>
        </is>
      </c>
      <c r="C16" s="35" t="inlineStr">
        <is>
          <t>Confidence grade 5: benefit reduction and cost uplift</t>
        </is>
      </c>
      <c r="D16" s="35" t="inlineStr">
        <is>
          <t>Benefit streams, and revenue cost lines other than C7 and C8</t>
        </is>
      </c>
      <c r="E16" s="34" t="inlineStr">
        <is>
          <t>%</t>
        </is>
      </c>
      <c r="F16" s="34" t="n"/>
      <c r="G16" s="34" t="inlineStr">
        <is>
          <t>benefits -25%, costs +25%</t>
        </is>
      </c>
      <c r="H16" s="34" t="n"/>
      <c r="I16" s="34" t="inlineStr"/>
      <c r="J16" s="34" t="inlineStr">
        <is>
          <t>Rule</t>
        </is>
      </c>
      <c r="K16" s="9" t="n"/>
      <c r="L16" s="9" t="n"/>
      <c r="M16" s="9" t="n"/>
      <c r="N16" s="36">
        <f>IF(K16&lt;&gt;"",K16,IF(I16="high",IF(H16="",G16,H16),IF(I16="low",IF(F16="",G16,F16),G16)))</f>
        <v/>
      </c>
      <c r="O16" s="36">
        <f>IF(K16&lt;&gt;"",K16,G16)</f>
        <v/>
      </c>
      <c r="P16" s="36">
        <f>IF(K16&lt;&gt;"",K16,IF(I16="high",IF(F16="",G16,F16),IF(I16="low",IF(H16="",G16,H16),G16)))</f>
        <v/>
      </c>
      <c r="Q16" s="36">
        <f>IF(M16&lt;&gt;"",M16,J16)</f>
        <v/>
      </c>
      <c r="R16" s="37" t="inlineStr">
        <is>
          <t>HM Treasury, Supporting public service transformation: CBA guidance for local partnerships</t>
        </is>
      </c>
      <c r="S16" s="37" t="inlineStr">
        <is>
          <t>April 2014</t>
        </is>
      </c>
      <c r="T16" s="37" t="inlineStr">
        <is>
          <t>Tables 7.A and 7.B; 7.18 to 7.19</t>
        </is>
      </c>
      <c r="U16" s="37" t="inlineStr">
        <is>
          <t>The confidence grade which the CBA model applies to the data is determined by the lowest assessment in any of the descriptive columns.</t>
        </is>
      </c>
      <c r="V16" s="37" t="inlineStr">
        <is>
          <t>Displayed as High (1 to 2), Medium (3 to 4), Low (5 to 6). Decision 4. Applied literally in this register, so data over 5 years old is grade 6</t>
        </is>
      </c>
      <c r="W16" s="38" t="inlineStr">
        <is>
          <t>Open source</t>
        </is>
      </c>
    </row>
    <row r="17">
      <c r="A17" s="34" t="inlineStr">
        <is>
          <t>C6</t>
        </is>
      </c>
      <c r="B17" s="34" t="inlineStr">
        <is>
          <t>Confidence and optimism bias</t>
        </is>
      </c>
      <c r="C17" s="35" t="inlineStr">
        <is>
          <t>Confidence grade 6: benefit reduction and cost uplift</t>
        </is>
      </c>
      <c r="D17" s="35" t="inlineStr">
        <is>
          <t>Benefit streams, and revenue cost lines other than C7 and C8</t>
        </is>
      </c>
      <c r="E17" s="34" t="inlineStr">
        <is>
          <t>%</t>
        </is>
      </c>
      <c r="F17" s="34" t="n"/>
      <c r="G17" s="34" t="inlineStr">
        <is>
          <t>benefits -40%, costs +40%</t>
        </is>
      </c>
      <c r="H17" s="34" t="n"/>
      <c r="I17" s="34" t="inlineStr"/>
      <c r="J17" s="34" t="inlineStr">
        <is>
          <t>Rule</t>
        </is>
      </c>
      <c r="K17" s="9" t="n"/>
      <c r="L17" s="9" t="n"/>
      <c r="M17" s="9" t="n"/>
      <c r="N17" s="36">
        <f>IF(K17&lt;&gt;"",K17,IF(I17="high",IF(H17="",G17,H17),IF(I17="low",IF(F17="",G17,F17),G17)))</f>
        <v/>
      </c>
      <c r="O17" s="36">
        <f>IF(K17&lt;&gt;"",K17,G17)</f>
        <v/>
      </c>
      <c r="P17" s="36">
        <f>IF(K17&lt;&gt;"",K17,IF(I17="high",IF(F17="",G17,F17),IF(I17="low",IF(H17="",G17,H17),G17)))</f>
        <v/>
      </c>
      <c r="Q17" s="36">
        <f>IF(M17&lt;&gt;"",M17,J17)</f>
        <v/>
      </c>
      <c r="R17" s="37" t="inlineStr">
        <is>
          <t>HM Treasury, Supporting public service transformation: CBA guidance for local partnerships</t>
        </is>
      </c>
      <c r="S17" s="37" t="inlineStr">
        <is>
          <t>April 2014</t>
        </is>
      </c>
      <c r="T17" s="37" t="inlineStr">
        <is>
          <t>Tables 7.A and 7.B; 7.18 to 7.19</t>
        </is>
      </c>
      <c r="U17" s="37" t="inlineStr">
        <is>
          <t>The confidence grade which the CBA model applies to the data is determined by the lowest assessment in any of the descriptive columns.</t>
        </is>
      </c>
      <c r="V17" s="37" t="inlineStr">
        <is>
          <t>Displayed as High (1 to 2), Medium (3 to 4), Low (5 to 6). Decision 4. Applied literally in this register, so data over 5 years old is grade 6</t>
        </is>
      </c>
      <c r="W17" s="38" t="inlineStr">
        <is>
          <t>Open source</t>
        </is>
      </c>
    </row>
    <row r="18">
      <c r="A18" s="34" t="inlineStr">
        <is>
          <t>C7</t>
        </is>
      </c>
      <c r="B18" s="34" t="inlineStr">
        <is>
          <t>Confidence and optimism bias</t>
        </is>
      </c>
      <c r="C18" s="35" t="inlineStr">
        <is>
          <t>Capital fit-out optimism bias</t>
        </is>
      </c>
      <c r="D18" s="35" t="inlineStr">
        <is>
          <t>Fit-out and works costs</t>
        </is>
      </c>
      <c r="E18" s="34" t="inlineStr">
        <is>
          <t>% uplift</t>
        </is>
      </c>
      <c r="F18" s="34" t="n">
        <v>4</v>
      </c>
      <c r="G18" s="34" t="n">
        <v>51</v>
      </c>
      <c r="H18" s="34" t="n">
        <v>51</v>
      </c>
      <c r="I18" s="34" t="inlineStr">
        <is>
          <t>high</t>
        </is>
      </c>
      <c r="J18" s="34" t="inlineStr">
        <is>
          <t>Rule</t>
        </is>
      </c>
      <c r="K18" s="9" t="n"/>
      <c r="L18" s="9" t="n"/>
      <c r="M18" s="9" t="n"/>
      <c r="N18" s="36">
        <f>IF(K18&lt;&gt;"",K18,IF(I18="high",IF(H18="",G18,H18),IF(I18="low",IF(F18="",G18,F18),G18)))</f>
        <v/>
      </c>
      <c r="O18" s="36">
        <f>IF(K18&lt;&gt;"",K18,G18)</f>
        <v/>
      </c>
      <c r="P18" s="36">
        <f>IF(K18&lt;&gt;"",K18,IF(I18="high",IF(F18="",G18,F18),IF(I18="low",IF(H18="",G18,H18),G18)))</f>
        <v/>
      </c>
      <c r="Q18" s="36">
        <f>IF(M18&lt;&gt;"",M18,J18)</f>
        <v/>
      </c>
      <c r="R18" s="37" t="inlineStr">
        <is>
          <t>HM Treasury, Supplementary Green Book guidance: optimism bias; MHCLG Appraisal Guide Annex F</t>
        </is>
      </c>
      <c r="S18" s="37" t="inlineStr">
        <is>
          <t>2013 page date; MHCLG February 2026</t>
        </is>
      </c>
      <c r="T18" s="37" t="inlineStr">
        <is>
          <t>Step Two heading before 3.11; Table 1 (non-standard buildings); MHCLG Annex F F7</t>
        </is>
      </c>
      <c r="U18" s="37" t="inlineStr">
        <is>
          <t>Always start with the upper bound</t>
        </is>
      </c>
      <c r="V18" s="37" t="inlineStr">
        <is>
          <t>Non-standard buildings include refurbishment projects (paraphrase of the guidance's definitions). Starts at 51% at proposal stage and steps towards 4% as the Treasury mitigation questions are answered (stage selector). Decision 10</t>
        </is>
      </c>
      <c r="W18" s="38" t="inlineStr">
        <is>
          <t>Open source</t>
        </is>
      </c>
    </row>
    <row r="19">
      <c r="A19" s="34" t="inlineStr">
        <is>
          <t>C8</t>
        </is>
      </c>
      <c r="B19" s="34" t="inlineStr">
        <is>
          <t>Confidence and optimism bias</t>
        </is>
      </c>
      <c r="C19" s="35" t="inlineStr">
        <is>
          <t>Contracted operator cost optimism bias</t>
        </is>
      </c>
      <c r="D19" s="35" t="inlineStr">
        <is>
          <t>Operator or management contract costs</t>
        </is>
      </c>
      <c r="E19" s="34" t="inlineStr">
        <is>
          <t>% uplift</t>
        </is>
      </c>
      <c r="F19" s="34" t="n">
        <v>0</v>
      </c>
      <c r="G19" s="34" t="n">
        <v>41</v>
      </c>
      <c r="H19" s="34" t="n">
        <v>41</v>
      </c>
      <c r="I19" s="34" t="inlineStr">
        <is>
          <t>high</t>
        </is>
      </c>
      <c r="J19" s="34" t="inlineStr">
        <is>
          <t>Rule</t>
        </is>
      </c>
      <c r="K19" s="9" t="n"/>
      <c r="L19" s="9" t="n"/>
      <c r="M19" s="9" t="n"/>
      <c r="N19" s="36">
        <f>IF(K19&lt;&gt;"",K19,IF(I19="high",IF(H19="",G19,H19),IF(I19="low",IF(F19="",G19,F19),G19)))</f>
        <v/>
      </c>
      <c r="O19" s="36">
        <f>IF(K19&lt;&gt;"",K19,G19)</f>
        <v/>
      </c>
      <c r="P19" s="36">
        <f>IF(K19&lt;&gt;"",K19,IF(I19="high",IF(F19="",G19,F19),IF(I19="low",IF(H19="",G19,H19),G19)))</f>
        <v/>
      </c>
      <c r="Q19" s="36">
        <f>IF(M19&lt;&gt;"",M19,J19)</f>
        <v/>
      </c>
      <c r="R19" s="37" t="inlineStr">
        <is>
          <t>HM Treasury, Supplementary Green Book guidance: optimism bias</t>
        </is>
      </c>
      <c r="S19" s="37" t="inlineStr">
        <is>
          <t>2013 page date</t>
        </is>
      </c>
      <c r="T19" s="37" t="inlineStr">
        <is>
          <t>Table 1 (outsourcing); 4.1</t>
        </is>
      </c>
      <c r="U19" s="37" t="inlineStr">
        <is>
          <t>Mott MacDonald was unable to recommend sound upper and lower bound optimism bias levels for operating expenditure (except for outsourcing projects)</t>
        </is>
      </c>
      <c r="V19" s="37" t="inlineStr">
        <is>
          <t>Applying the outsourcing bound to a meanwhile operator contract is our judgement, labelled as such</t>
        </is>
      </c>
      <c r="W19" s="38" t="inlineStr">
        <is>
          <t>Open source</t>
        </is>
      </c>
    </row>
    <row r="20">
      <c r="A20" s="34" t="inlineStr">
        <is>
          <t>C9</t>
        </is>
      </c>
      <c r="B20" s="34" t="inlineStr">
        <is>
          <t>Confidence and optimism bias</t>
        </is>
      </c>
      <c r="C20" s="35" t="inlineStr">
        <is>
          <t>Value for money categories</t>
        </is>
      </c>
      <c r="D20" s="35" t="inlineStr">
        <is>
          <t>Results</t>
        </is>
      </c>
      <c r="E20" s="34" t="inlineStr">
        <is>
          <t>benefit-cost ratio bands</t>
        </is>
      </c>
      <c r="F20" s="34" t="n"/>
      <c r="G20" s="34" t="inlineStr">
        <is>
          <t>Very High &gt;=4; High 2-4; Medium 1.5-2; Acceptable 1-1.5; Poor 0-1; Very Poor &lt;0</t>
        </is>
      </c>
      <c r="H20" s="34" t="n"/>
      <c r="I20" s="34" t="inlineStr"/>
      <c r="J20" s="34" t="inlineStr">
        <is>
          <t>Rule</t>
        </is>
      </c>
      <c r="K20" s="9" t="n"/>
      <c r="L20" s="9" t="n"/>
      <c r="M20" s="9" t="n"/>
      <c r="N20" s="36">
        <f>IF(K20&lt;&gt;"",K20,IF(I20="high",IF(H20="",G20,H20),IF(I20="low",IF(F20="",G20,F20),G20)))</f>
        <v/>
      </c>
      <c r="O20" s="36">
        <f>IF(K20&lt;&gt;"",K20,G20)</f>
        <v/>
      </c>
      <c r="P20" s="36">
        <f>IF(K20&lt;&gt;"",K20,IF(I20="high",IF(F20="",G20,F20),IF(I20="low",IF(H20="",G20,H20),G20)))</f>
        <v/>
      </c>
      <c r="Q20" s="36">
        <f>IF(M20&lt;&gt;"",M20,J20)</f>
        <v/>
      </c>
      <c r="R20" s="37" t="inlineStr">
        <is>
          <t>MHCLG Appraisal Guide, 4th edition</t>
        </is>
      </c>
      <c r="S20" s="37" t="inlineStr">
        <is>
          <t>February 2026</t>
        </is>
      </c>
      <c r="T20" s="37" t="inlineStr">
        <is>
          <t>3.55</t>
        </is>
      </c>
      <c r="U20" s="37" t="inlineStr">
        <is>
          <t>The following VfM categories can be defined where public sector costs are positive</t>
        </is>
      </c>
      <c r="V20" s="37" t="inlineStr"/>
      <c r="W20" s="38" t="inlineStr">
        <is>
          <t>Open source</t>
        </is>
      </c>
    </row>
    <row r="21">
      <c r="A21" s="34" t="inlineStr">
        <is>
          <t>C10</t>
        </is>
      </c>
      <c r="B21" s="34" t="inlineStr">
        <is>
          <t>Confidence and optimism bias</t>
        </is>
      </c>
      <c r="C21" s="35" t="inlineStr">
        <is>
          <t>Range rule for uncertain streams</t>
        </is>
      </c>
      <c r="D21" s="35" t="inlineStr">
        <is>
          <t>Any monetised stream</t>
        </is>
      </c>
      <c r="E21" s="34" t="inlineStr">
        <is>
          <t>ratio</t>
        </is>
      </c>
      <c r="F21" s="34" t="n"/>
      <c r="G21" s="34" t="n">
        <v>4</v>
      </c>
      <c r="H21" s="34" t="n"/>
      <c r="I21" s="34" t="inlineStr"/>
      <c r="J21" s="34" t="inlineStr">
        <is>
          <t>Rule</t>
        </is>
      </c>
      <c r="K21" s="9" t="n"/>
      <c r="L21" s="9" t="n"/>
      <c r="M21" s="9" t="n"/>
      <c r="N21" s="36">
        <f>IF(K21&lt;&gt;"",K21,IF(I21="high",IF(H21="",G21,H21),IF(I21="low",IF(F21="",G21,F21),G21)))</f>
        <v/>
      </c>
      <c r="O21" s="36">
        <f>IF(K21&lt;&gt;"",K21,G21)</f>
        <v/>
      </c>
      <c r="P21" s="36">
        <f>IF(K21&lt;&gt;"",K21,IF(I21="high",IF(F21="",G21,F21),IF(I21="low",IF(H21="",G21,H21),G21)))</f>
        <v/>
      </c>
      <c r="Q21" s="36">
        <f>IF(M21&lt;&gt;"",M21,J21)</f>
        <v/>
      </c>
      <c r="R21" s="37" t="inlineStr">
        <is>
          <t>MHCLG Appraisal Guide, 4th edition</t>
        </is>
      </c>
      <c r="S21" s="37" t="inlineStr">
        <is>
          <t>February 2026</t>
        </is>
      </c>
      <c r="T21" s="37" t="inlineStr">
        <is>
          <t>5.92</t>
        </is>
      </c>
      <c r="U21" s="37" t="inlineStr">
        <is>
          <t>where the uncertain range exceeds four times the midpoint, the monetised figure is not reported and switching values are used instead (paraphrase)</t>
        </is>
      </c>
      <c r="V21" s="37" t="inlineStr">
        <is>
          <t>Watch item. The rule sits in the guide's health valuation context; applying it to every stream is our extension</t>
        </is>
      </c>
      <c r="W21" s="38" t="inlineStr">
        <is>
          <t>Open source</t>
        </is>
      </c>
    </row>
    <row r="22">
      <c r="A22" s="34" t="inlineStr">
        <is>
          <t>B1</t>
        </is>
      </c>
      <c r="B22" s="34" t="inlineStr">
        <is>
          <t>Business as Usual</t>
        </is>
      </c>
      <c r="C22" s="35" t="inlineStr">
        <is>
          <t>Chance the unit is let commercially anyway during the occupation period</t>
        </is>
      </c>
      <c r="D22" s="35" t="inlineStr">
        <is>
          <t>BAU column, all proposals</t>
        </is>
      </c>
      <c r="E22" s="34" t="inlineStr">
        <is>
          <t>%</t>
        </is>
      </c>
      <c r="F22" s="34" t="n">
        <v>10</v>
      </c>
      <c r="G22" s="34" t="n">
        <v>20</v>
      </c>
      <c r="H22" s="34" t="n">
        <v>40</v>
      </c>
      <c r="I22" s="34" t="inlineStr">
        <is>
          <t>high</t>
        </is>
      </c>
      <c r="J22" s="34" t="n">
        <v>6</v>
      </c>
      <c r="K22" s="9" t="n"/>
      <c r="L22" s="9" t="n"/>
      <c r="M22" s="9" t="n"/>
      <c r="N22" s="36">
        <f>IF(K22&lt;&gt;"",K22,IF(I22="high",IF(H22="",G22,H22),IF(I22="low",IF(F22="",G22,F22),G22)))</f>
        <v/>
      </c>
      <c r="O22" s="36">
        <f>IF(K22&lt;&gt;"",K22,G22)</f>
        <v/>
      </c>
      <c r="P22" s="36">
        <f>IF(K22&lt;&gt;"",K22,IF(I22="high",IF(F22="",G22,F22),IF(I22="low",IF(H22="",G22,H22),G22)))</f>
        <v/>
      </c>
      <c r="Q22" s="36">
        <f>IF(M22&lt;&gt;"",M22,J22)</f>
        <v/>
      </c>
      <c r="R22" s="37" t="inlineStr">
        <is>
          <t>Open Doors Pilot Programme evaluation (IFF Research for MHCLG); HSRA explanatory memorandum</t>
        </is>
      </c>
      <c r="S22" s="37" t="inlineStr">
        <is>
          <t>November 2020; 2024</t>
        </is>
      </c>
      <c r="T22" s="37" t="inlineStr">
        <is>
          <t>Executive summary (counterfactual exercise); EM 5.2</t>
        </is>
      </c>
      <c r="U22" s="37" t="inlineStr">
        <is>
          <t>Three of the five landlords who were not part of the Open Doors scheme ... said their properties were vacant at the time of interview (Open Doors). Over eight in ten of these vacant properties have been empty for more than two years (Whythawk 2021, quoted in EM 5.2).</t>
        </is>
      </c>
      <c r="V22" s="37" t="inlineStr">
        <is>
          <t>High = Open Doors counterfactual (2 of 5 not reported vacant; tiny sample). Low and central are our judgement for units vacant over a year. Override with the council's own vacancy register where held</t>
        </is>
      </c>
      <c r="W22" s="38" t="inlineStr">
        <is>
          <t>Open source</t>
        </is>
      </c>
    </row>
    <row r="23">
      <c r="A23" s="34" t="inlineStr">
        <is>
          <t>B2</t>
        </is>
      </c>
      <c r="B23" s="34" t="inlineStr">
        <is>
          <t>Business as Usual</t>
        </is>
      </c>
      <c r="C23" s="35" t="inlineStr">
        <is>
          <t>Empty property rates exemption</t>
        </is>
      </c>
      <c r="D23" s="35" t="inlineStr">
        <is>
          <t>BAU rates position</t>
        </is>
      </c>
      <c r="E23" s="34" t="inlineStr">
        <is>
          <t>months</t>
        </is>
      </c>
      <c r="F23" s="34" t="n"/>
      <c r="G23" s="34" t="n">
        <v>3</v>
      </c>
      <c r="H23" s="34" t="n"/>
      <c r="I23" s="34" t="inlineStr"/>
      <c r="J23" s="34" t="inlineStr">
        <is>
          <t>Rule</t>
        </is>
      </c>
      <c r="K23" s="9" t="n"/>
      <c r="L23" s="9" t="n"/>
      <c r="M23" s="9" t="n"/>
      <c r="N23" s="36">
        <f>IF(K23&lt;&gt;"",K23,IF(I23="high",IF(H23="",G23,H23),IF(I23="low",IF(F23="",G23,F23),G23)))</f>
        <v/>
      </c>
      <c r="O23" s="36">
        <f>IF(K23&lt;&gt;"",K23,G23)</f>
        <v/>
      </c>
      <c r="P23" s="36">
        <f>IF(K23&lt;&gt;"",K23,IF(I23="high",IF(F23="",G23,F23),IF(I23="low",IF(H23="",G23,H23),G23)))</f>
        <v/>
      </c>
      <c r="Q23" s="36">
        <f>IF(M23&lt;&gt;"",M23,J23)</f>
        <v/>
      </c>
      <c r="R23" s="37" t="inlineStr">
        <is>
          <t>GOV.UK, Empty property relief</t>
        </is>
      </c>
      <c r="S23" s="37" t="inlineStr">
        <is>
          <t>Checked 23 October 2026</t>
        </is>
      </c>
      <c r="T23" s="37" t="inlineStr">
        <is>
          <t>Standard relief</t>
        </is>
      </c>
      <c r="U23" s="37" t="inlineStr">
        <is>
          <t>you do not have to pay business rates on your empty property for 3 months</t>
        </is>
      </c>
      <c r="V23" s="37" t="inlineStr">
        <is>
          <t>After 3 months most owners pay full rates. Listed buildings and RV under £2,900 exempt until reoccupied</t>
        </is>
      </c>
      <c r="W23" s="38" t="inlineStr">
        <is>
          <t>Open source</t>
        </is>
      </c>
    </row>
    <row r="24">
      <c r="A24" s="34" t="inlineStr">
        <is>
          <t>B3</t>
        </is>
      </c>
      <c r="B24" s="34" t="inlineStr">
        <is>
          <t>Business as Usual</t>
        </is>
      </c>
      <c r="C24" s="35" t="inlineStr">
        <is>
          <t>Occupation needed to restart the empty rates exemption</t>
        </is>
      </c>
      <c r="D24" s="35" t="inlineStr">
        <is>
          <t>Transfer line (landlord rates)</t>
        </is>
      </c>
      <c r="E24" s="34" t="inlineStr">
        <is>
          <t>weeks</t>
        </is>
      </c>
      <c r="F24" s="34" t="n"/>
      <c r="G24" s="34" t="n">
        <v>13</v>
      </c>
      <c r="H24" s="34" t="n"/>
      <c r="I24" s="34" t="inlineStr"/>
      <c r="J24" s="34" t="inlineStr">
        <is>
          <t>Rule</t>
        </is>
      </c>
      <c r="K24" s="9" t="n"/>
      <c r="L24" s="9" t="n"/>
      <c r="M24" s="9" t="n"/>
      <c r="N24" s="36">
        <f>IF(K24&lt;&gt;"",K24,IF(I24="high",IF(H24="",G24,H24),IF(I24="low",IF(F24="",G24,F24),G24)))</f>
        <v/>
      </c>
      <c r="O24" s="36">
        <f>IF(K24&lt;&gt;"",K24,G24)</f>
        <v/>
      </c>
      <c r="P24" s="36">
        <f>IF(K24&lt;&gt;"",K24,IF(I24="high",IF(F24="",G24,F24),IF(I24="low",IF(H24="",G24,H24),G24)))</f>
        <v/>
      </c>
      <c r="Q24" s="36">
        <f>IF(M24&lt;&gt;"",M24,J24)</f>
        <v/>
      </c>
      <c r="R24" s="37" t="inlineStr">
        <is>
          <t>Non-Domestic Rating (Unoccupied Property) (England) (Amendment) Regulations 2024, SI 2024/323</t>
        </is>
      </c>
      <c r="S24" s="37" t="inlineStr">
        <is>
          <t>In force 1 April 2024</t>
        </is>
      </c>
      <c r="T24" s="37" t="inlineStr">
        <is>
          <t>Regulation 2</t>
        </is>
      </c>
      <c r="U24" s="37" t="inlineStr">
        <is>
          <t>in regulation 5 (continuous occupation), for "six weeks" substitute "13 weeks"</t>
        </is>
      </c>
      <c r="V24" s="37" t="inlineStr">
        <is>
          <t>A meanwhile occupation of 13 weeks or more restarts the landlord's 3-month exemption afterwards: a transfer from the council to the landlord</t>
        </is>
      </c>
      <c r="W24" s="38" t="inlineStr">
        <is>
          <t>Open source</t>
        </is>
      </c>
    </row>
    <row r="25">
      <c r="A25" s="34" t="inlineStr">
        <is>
          <t>B4</t>
        </is>
      </c>
      <c r="B25" s="34" t="inlineStr">
        <is>
          <t>Business as Usual</t>
        </is>
      </c>
      <c r="C25" s="35" t="inlineStr">
        <is>
          <t>Business rates multipliers 2026-27</t>
        </is>
      </c>
      <c r="D25" s="35" t="inlineStr">
        <is>
          <t>Rates lines</t>
        </is>
      </c>
      <c r="E25" s="34" t="inlineStr">
        <is>
          <t>pence per £ RV</t>
        </is>
      </c>
      <c r="F25" s="34" t="n"/>
      <c r="G25" s="34" t="inlineStr">
        <is>
          <t>Small RHL 38.2; small other 43.2; standard RHL 43.0; standard other 48.0; RV £500,000+ 50.8</t>
        </is>
      </c>
      <c r="H25" s="34" t="n"/>
      <c r="I25" s="34" t="inlineStr"/>
      <c r="J25" s="34" t="inlineStr">
        <is>
          <t>Rule</t>
        </is>
      </c>
      <c r="K25" s="9" t="n"/>
      <c r="L25" s="9" t="n"/>
      <c r="M25" s="9" t="n"/>
      <c r="N25" s="36">
        <f>IF(K25&lt;&gt;"",K25,IF(I25="high",IF(H25="",G25,H25),IF(I25="low",IF(F25="",G25,F25),G25)))</f>
        <v/>
      </c>
      <c r="O25" s="36">
        <f>IF(K25&lt;&gt;"",K25,G25)</f>
        <v/>
      </c>
      <c r="P25" s="36">
        <f>IF(K25&lt;&gt;"",K25,IF(I25="high",IF(F25="",G25,F25),IF(I25="low",IF(H25="",G25,H25),G25)))</f>
        <v/>
      </c>
      <c r="Q25" s="36">
        <f>IF(M25&lt;&gt;"",M25,J25)</f>
        <v/>
      </c>
      <c r="R25" s="37" t="inlineStr">
        <is>
          <t>GOV.UK, Estimate your business rates</t>
        </is>
      </c>
      <c r="S25" s="37" t="inlineStr">
        <is>
          <t>Checked 23 October 2026</t>
        </is>
      </c>
      <c r="T25" s="37" t="inlineStr">
        <is>
          <t>England, 2026 to 2027</t>
        </is>
      </c>
      <c r="U25" s="37" t="inlineStr">
        <is>
          <t>43.2 pence if your rateable value is below £51,000 ... 38.2 pence if your rateable value is below £51,000</t>
        </is>
      </c>
      <c r="V25" s="37" t="inlineStr">
        <is>
          <t>RHL rates apply to eligible occupied properties only; small multipliers apply where RV is below £51,000</t>
        </is>
      </c>
      <c r="W25" s="38" t="inlineStr">
        <is>
          <t>Open source</t>
        </is>
      </c>
    </row>
    <row r="26">
      <c r="A26" s="34" t="inlineStr">
        <is>
          <t>B5</t>
        </is>
      </c>
      <c r="B26" s="34" t="inlineStr">
        <is>
          <t>Business as Usual</t>
        </is>
      </c>
      <c r="C26" s="35" t="inlineStr">
        <is>
          <t>Small business rate relief</t>
        </is>
      </c>
      <c r="D26" s="35" t="inlineStr">
        <is>
          <t>Occupier rates, transfer line</t>
        </is>
      </c>
      <c r="E26" s="34" t="inlineStr">
        <is>
          <t>RV thresholds</t>
        </is>
      </c>
      <c r="F26" s="34" t="n"/>
      <c r="G26" s="34" t="inlineStr">
        <is>
          <t>100% to £12,000; tapers to 0% at £15,000</t>
        </is>
      </c>
      <c r="H26" s="34" t="n"/>
      <c r="I26" s="34" t="inlineStr"/>
      <c r="J26" s="34" t="inlineStr">
        <is>
          <t>Rule</t>
        </is>
      </c>
      <c r="K26" s="9" t="n"/>
      <c r="L26" s="9" t="n"/>
      <c r="M26" s="9" t="n"/>
      <c r="N26" s="36">
        <f>IF(K26&lt;&gt;"",K26,IF(I26="high",IF(H26="",G26,H26),IF(I26="low",IF(F26="",G26,F26),G26)))</f>
        <v/>
      </c>
      <c r="O26" s="36">
        <f>IF(K26&lt;&gt;"",K26,G26)</f>
        <v/>
      </c>
      <c r="P26" s="36">
        <f>IF(K26&lt;&gt;"",K26,IF(I26="high",IF(F26="",G26,F26),IF(I26="low",IF(H26="",G26,H26),G26)))</f>
        <v/>
      </c>
      <c r="Q26" s="36">
        <f>IF(M26&lt;&gt;"",M26,J26)</f>
        <v/>
      </c>
      <c r="R26" s="37" t="inlineStr">
        <is>
          <t>GOV.UK, Small business rate relief</t>
        </is>
      </c>
      <c r="S26" s="37" t="inlineStr">
        <is>
          <t>Checked 23 October 2026</t>
        </is>
      </c>
      <c r="T26" s="37" t="inlineStr">
        <is>
          <t>Thresholds</t>
        </is>
      </c>
      <c r="U26" s="37" t="inlineStr">
        <is>
          <t>You will not pay business rates on a property with a rateable value of £12,000 or less</t>
        </is>
      </c>
      <c r="V26" s="37" t="inlineStr"/>
      <c r="W26" s="38" t="inlineStr">
        <is>
          <t>Open source</t>
        </is>
      </c>
    </row>
    <row r="27">
      <c r="A27" s="34" t="inlineStr">
        <is>
          <t>B6</t>
        </is>
      </c>
      <c r="B27" s="34" t="inlineStr">
        <is>
          <t>Business as Usual</t>
        </is>
      </c>
      <c r="C27" s="35" t="inlineStr">
        <is>
          <t>Charitable rate relief</t>
        </is>
      </c>
      <c r="D27" s="35" t="inlineStr">
        <is>
          <t>Occupier rates where a charity occupies</t>
        </is>
      </c>
      <c r="E27" s="34" t="inlineStr">
        <is>
          <t>%</t>
        </is>
      </c>
      <c r="F27" s="34" t="n"/>
      <c r="G27" s="34" t="n">
        <v>80</v>
      </c>
      <c r="H27" s="34" t="n">
        <v>100</v>
      </c>
      <c r="I27" s="34" t="inlineStr"/>
      <c r="J27" s="34" t="inlineStr">
        <is>
          <t>Rule</t>
        </is>
      </c>
      <c r="K27" s="9" t="n"/>
      <c r="L27" s="9" t="n"/>
      <c r="M27" s="9" t="n"/>
      <c r="N27" s="36">
        <f>IF(K27&lt;&gt;"",K27,IF(I27="high",IF(H27="",G27,H27),IF(I27="low",IF(F27="",G27,F27),G27)))</f>
        <v/>
      </c>
      <c r="O27" s="36">
        <f>IF(K27&lt;&gt;"",K27,G27)</f>
        <v/>
      </c>
      <c r="P27" s="36">
        <f>IF(K27&lt;&gt;"",K27,IF(I27="high",IF(F27="",G27,F27),IF(I27="low",IF(H27="",G27,H27),G27)))</f>
        <v/>
      </c>
      <c r="Q27" s="36">
        <f>IF(M27&lt;&gt;"",M27,J27)</f>
        <v/>
      </c>
      <c r="R27" s="37" t="inlineStr">
        <is>
          <t>GOV.UK, Charitable rate relief</t>
        </is>
      </c>
      <c r="S27" s="37" t="inlineStr">
        <is>
          <t>Checked 23 October 2026</t>
        </is>
      </c>
      <c r="T27" s="37" t="inlineStr"/>
      <c r="U27" s="37" t="inlineStr">
        <is>
          <t>Charitable rate relief gives you up to 80% off your business rates bill ... Your local council may also be able to top up the discount</t>
        </is>
      </c>
      <c r="V27" s="37" t="inlineStr">
        <is>
          <t>High = 100% where the council tops up with discretionary relief (as in Open Doors, where the programme paid the remaining 20%)</t>
        </is>
      </c>
      <c r="W27" s="38" t="inlineStr">
        <is>
          <t>Open source</t>
        </is>
      </c>
    </row>
    <row r="28">
      <c r="A28" s="34" t="inlineStr">
        <is>
          <t>B7</t>
        </is>
      </c>
      <c r="B28" s="34" t="inlineStr">
        <is>
          <t>Business as Usual</t>
        </is>
      </c>
      <c r="C28" s="35" t="inlineStr">
        <is>
          <t>Holding cost of a council-owned empty unit</t>
        </is>
      </c>
      <c r="D28" s="35" t="inlineStr">
        <is>
          <t>BAU cost, council-owned units only</t>
        </is>
      </c>
      <c r="E28" s="34" t="inlineStr">
        <is>
          <t>% of existing value a year</t>
        </is>
      </c>
      <c r="F28" s="34" t="n"/>
      <c r="G28" s="34" t="n">
        <v>2</v>
      </c>
      <c r="H28" s="34" t="n"/>
      <c r="I28" s="34" t="inlineStr"/>
      <c r="J28" s="34" t="inlineStr">
        <is>
          <t>Rule</t>
        </is>
      </c>
      <c r="K28" s="9" t="n"/>
      <c r="L28" s="9" t="n"/>
      <c r="M28" s="9" t="n"/>
      <c r="N28" s="36">
        <f>IF(K28&lt;&gt;"",K28,IF(I28="high",IF(H28="",G28,H28),IF(I28="low",IF(F28="",G28,F28),G28)))</f>
        <v/>
      </c>
      <c r="O28" s="36">
        <f>IF(K28&lt;&gt;"",K28,G28)</f>
        <v/>
      </c>
      <c r="P28" s="36">
        <f>IF(K28&lt;&gt;"",K28,IF(I28="high",IF(F28="",G28,F28),IF(I28="low",IF(H28="",G28,H28),G28)))</f>
        <v/>
      </c>
      <c r="Q28" s="36">
        <f>IF(M28&lt;&gt;"",M28,J28)</f>
        <v/>
      </c>
      <c r="R28" s="37" t="inlineStr">
        <is>
          <t>MHCLG Appraisal Guide technical annex</t>
        </is>
      </c>
      <c r="S28" s="37" t="inlineStr">
        <is>
          <t>18 February 2026</t>
        </is>
      </c>
      <c r="T28" s="37" t="inlineStr">
        <is>
          <t>Annex A10 and D17</t>
        </is>
      </c>
      <c r="U28" s="37" t="inlineStr">
        <is>
          <t>industry standards indicate these can be assumed to be 2% of the existing value of the land per year</t>
        </is>
      </c>
      <c r="V28" s="37" t="inlineStr">
        <is>
          <t>Alternative to B9, used only without site-specific evidence: the annex holding cost covers maintenance and security. It applies to the unit's book or market value; with an existing use value of zero (B8) it gives zero, so B9 carries the cost</t>
        </is>
      </c>
      <c r="W28" s="38" t="inlineStr">
        <is>
          <t>Open source</t>
        </is>
      </c>
    </row>
    <row r="29">
      <c r="A29" s="34" t="inlineStr">
        <is>
          <t>B8</t>
        </is>
      </c>
      <c r="B29" s="34" t="inlineStr">
        <is>
          <t>Business as Usual</t>
        </is>
      </c>
      <c r="C29" s="35" t="inlineStr">
        <is>
          <t>Existing use value of a long-vacant unit</t>
        </is>
      </c>
      <c r="D29" s="35" t="inlineStr">
        <is>
          <t>Value of space</t>
        </is>
      </c>
      <c r="E29" s="34" t="inlineStr">
        <is>
          <t>£</t>
        </is>
      </c>
      <c r="F29" s="34" t="n"/>
      <c r="G29" s="34" t="n">
        <v>0</v>
      </c>
      <c r="H29" s="34" t="n"/>
      <c r="I29" s="34" t="inlineStr"/>
      <c r="J29" s="34" t="inlineStr">
        <is>
          <t>Rule</t>
        </is>
      </c>
      <c r="K29" s="9" t="n"/>
      <c r="L29" s="9" t="n"/>
      <c r="M29" s="9" t="n"/>
      <c r="N29" s="36">
        <f>IF(K29&lt;&gt;"",K29,IF(I29="high",IF(H29="",G29,H29),IF(I29="low",IF(F29="",G29,F29),G29)))</f>
        <v/>
      </c>
      <c r="O29" s="36">
        <f>IF(K29&lt;&gt;"",K29,G29)</f>
        <v/>
      </c>
      <c r="P29" s="36">
        <f>IF(K29&lt;&gt;"",K29,IF(I29="high",IF(F29="",G29,F29),IF(I29="low",IF(H29="",G29,H29),G29)))</f>
        <v/>
      </c>
      <c r="Q29" s="36">
        <f>IF(M29&lt;&gt;"",M29,J29)</f>
        <v/>
      </c>
      <c r="R29" s="37" t="inlineStr">
        <is>
          <t>MHCLG Appraisal Guide technical annex</t>
        </is>
      </c>
      <c r="S29" s="37" t="inlineStr">
        <is>
          <t>18 February 2026</t>
        </is>
      </c>
      <c r="T29" s="37" t="inlineStr">
        <is>
          <t>Annex A7</t>
        </is>
      </c>
      <c r="U29" s="37" t="inlineStr">
        <is>
          <t>where there is no active economic use of the site and there will not be for the foreseeable future without public sector intervention, it may be appropriate to apply an existing use value of zero</t>
        </is>
      </c>
      <c r="V29" s="37" t="inlineStr"/>
      <c r="W29" s="38" t="inlineStr">
        <is>
          <t>Open source</t>
        </is>
      </c>
    </row>
    <row r="30">
      <c r="A30" s="34" t="inlineStr">
        <is>
          <t>B9</t>
        </is>
      </c>
      <c r="B30" s="34" t="inlineStr">
        <is>
          <t>Business as Usual</t>
        </is>
      </c>
      <c r="C30" s="35" t="inlineStr">
        <is>
          <t>Security, inspection and maintenance of an empty unit</t>
        </is>
      </c>
      <c r="D30" s="35" t="inlineStr">
        <is>
          <t>BAU cost</t>
        </is>
      </c>
      <c r="E30" s="34" t="inlineStr">
        <is>
          <t>£ a year</t>
        </is>
      </c>
      <c r="F30" s="34" t="n"/>
      <c r="G30" s="34" t="inlineStr">
        <is>
          <t>User input</t>
        </is>
      </c>
      <c r="H30" s="34" t="n"/>
      <c r="I30" s="34" t="inlineStr"/>
      <c r="J30" s="34" t="n">
        <v>6</v>
      </c>
      <c r="K30" s="9" t="n"/>
      <c r="L30" s="9" t="n"/>
      <c r="M30" s="9" t="n"/>
      <c r="N30" s="36">
        <f>IF(K30&lt;&gt;"",K30,IF(I30="high",IF(H30="",G30,H30),IF(I30="low",IF(F30="",G30,F30),G30)))</f>
        <v/>
      </c>
      <c r="O30" s="36">
        <f>IF(K30&lt;&gt;"",K30,G30)</f>
        <v/>
      </c>
      <c r="P30" s="36">
        <f>IF(K30&lt;&gt;"",K30,IF(I30="high",IF(F30="",G30,F30),IF(I30="low",IF(H30="",G30,H30),G30)))</f>
        <v/>
      </c>
      <c r="Q30" s="36">
        <f>IF(M30&lt;&gt;"",M30,J30)</f>
        <v/>
      </c>
      <c r="R30" s="37" t="inlineStr">
        <is>
          <t>No published benchmark found</t>
        </is>
      </c>
      <c r="S30" s="37" t="inlineStr"/>
      <c r="T30" s="37" t="inlineStr"/>
      <c r="U30" s="37" t="inlineStr"/>
      <c r="V30" s="37" t="inlineStr">
        <is>
          <t>Evidence gap. Officer enters the council's own cost; flagged until entered</t>
        </is>
      </c>
      <c r="W30" s="36" t="n"/>
    </row>
    <row r="31">
      <c r="A31" s="34" t="inlineStr">
        <is>
          <t>V1</t>
        </is>
      </c>
      <c r="B31" s="34" t="inlineStr">
        <is>
          <t>Value of the space</t>
        </is>
      </c>
      <c r="C31" s="35" t="inlineStr">
        <is>
          <t>Market rent (high value of the space)</t>
        </is>
      </c>
      <c r="D31" s="35" t="inlineStr">
        <is>
          <t>Both ratios</t>
        </is>
      </c>
      <c r="E31" s="34" t="inlineStr">
        <is>
          <t>£ a year</t>
        </is>
      </c>
      <c r="F31" s="34" t="n"/>
      <c r="G31" s="34" t="inlineStr">
        <is>
          <t>Unit rateable value x V3</t>
        </is>
      </c>
      <c r="H31" s="34" t="n"/>
      <c r="I31" s="34" t="inlineStr"/>
      <c r="J31" s="34" t="n">
        <v>3</v>
      </c>
      <c r="K31" s="9" t="n"/>
      <c r="L31" s="9" t="n"/>
      <c r="M31" s="9" t="n"/>
      <c r="N31" s="36">
        <f>IF(K31&lt;&gt;"",K31,IF(I31="high",IF(H31="",G31,H31),IF(I31="low",IF(F31="",G31,F31),G31)))</f>
        <v/>
      </c>
      <c r="O31" s="36">
        <f>IF(K31&lt;&gt;"",K31,G31)</f>
        <v/>
      </c>
      <c r="P31" s="36">
        <f>IF(K31&lt;&gt;"",K31,IF(I31="high",IF(F31="",G31,F31),IF(I31="low",IF(H31="",G31,H31),G31)))</f>
        <v/>
      </c>
      <c r="Q31" s="36">
        <f>IF(M31&lt;&gt;"",M31,J31)</f>
        <v/>
      </c>
      <c r="R31" s="37" t="inlineStr">
        <is>
          <t>GOV.UK, How your rates are calculated; VOA Find a business rates valuation (per property)</t>
        </is>
      </c>
      <c r="S31" s="37" t="inlineStr">
        <is>
          <t>2026 rating list, valuation date 1 April 2024</t>
        </is>
      </c>
      <c r="T31" s="37" t="inlineStr"/>
      <c r="U31" s="37" t="inlineStr">
        <is>
          <t>This is its open market rental value on 1 April 2024, based on an estimate by the Valuation Office (VO).</t>
        </is>
      </c>
      <c r="V31" s="37" t="inlineStr">
        <is>
          <t>Officer looks up the unit's rateable value (free, per property). The bulk VOA list needs a restricted licence and is not used</t>
        </is>
      </c>
      <c r="W31" s="38" t="inlineStr">
        <is>
          <t>Open source</t>
        </is>
      </c>
    </row>
    <row r="32">
      <c r="A32" s="34" t="inlineStr">
        <is>
          <t>V2</t>
        </is>
      </c>
      <c r="B32" s="34" t="inlineStr">
        <is>
          <t>Value of the space</t>
        </is>
      </c>
      <c r="C32" s="35" t="inlineStr">
        <is>
          <t>Rent a comparable meanwhile occupier pays (low value of the space)</t>
        </is>
      </c>
      <c r="D32" s="35" t="inlineStr">
        <is>
          <t>Both ratios</t>
        </is>
      </c>
      <c r="E32" s="34" t="inlineStr">
        <is>
          <t>£ a year</t>
        </is>
      </c>
      <c r="F32" s="34" t="n"/>
      <c r="G32" s="34" t="inlineStr">
        <is>
          <t>Rent actually agreed</t>
        </is>
      </c>
      <c r="H32" s="34" t="n"/>
      <c r="I32" s="34" t="inlineStr"/>
      <c r="J32" s="34" t="n">
        <v>5</v>
      </c>
      <c r="K32" s="9" t="n"/>
      <c r="L32" s="9" t="n"/>
      <c r="M32" s="9" t="n"/>
      <c r="N32" s="36">
        <f>IF(K32&lt;&gt;"",K32,IF(I32="high",IF(H32="",G32,H32),IF(I32="low",IF(F32="",G32,F32),G32)))</f>
        <v/>
      </c>
      <c r="O32" s="36">
        <f>IF(K32&lt;&gt;"",K32,G32)</f>
        <v/>
      </c>
      <c r="P32" s="36">
        <f>IF(K32&lt;&gt;"",K32,IF(I32="high",IF(F32="",G32,F32),IF(I32="low",IF(H32="",G32,H32),G32)))</f>
        <v/>
      </c>
      <c r="Q32" s="36">
        <f>IF(M32&lt;&gt;"",M32,J32)</f>
        <v/>
      </c>
      <c r="R32" s="37" t="inlineStr">
        <is>
          <t>Revealed preference: the occupier's own rent</t>
        </is>
      </c>
      <c r="S32" s="37" t="inlineStr"/>
      <c r="T32" s="37" t="inlineStr">
        <is>
          <t>Green Book 8.6 valuation hierarchy (market prices first)</t>
        </is>
      </c>
      <c r="U32" s="37" t="inlineStr"/>
      <c r="V32" s="37" t="inlineStr">
        <is>
          <t>Zero where the occupier pays no rent. Central = midpoint of V1 and V2 (our judgement). Grade 5 so the 25% benefit cut applies; decision 2. V1 and V2 are both netted for the chance of a let anyway (B1)</t>
        </is>
      </c>
      <c r="W32" s="36" t="n"/>
    </row>
    <row r="33">
      <c r="A33" s="34" t="inlineStr">
        <is>
          <t>V3</t>
        </is>
      </c>
      <c r="B33" s="34" t="inlineStr">
        <is>
          <t>Value of the space</t>
        </is>
      </c>
      <c r="C33" s="35" t="inlineStr">
        <is>
          <t>Uprating, 2024-25 rental values to 2026-27</t>
        </is>
      </c>
      <c r="D33" s="35" t="inlineStr">
        <is>
          <t>V1</t>
        </is>
      </c>
      <c r="E33" s="34" t="inlineStr">
        <is>
          <t>multiplier</t>
        </is>
      </c>
      <c r="F33" s="34" t="n"/>
      <c r="G33" s="34" t="n">
        <v>1.0542</v>
      </c>
      <c r="H33" s="34" t="n"/>
      <c r="I33" s="34" t="inlineStr"/>
      <c r="J33" s="34" t="inlineStr">
        <is>
          <t>Rule</t>
        </is>
      </c>
      <c r="K33" s="9" t="n"/>
      <c r="L33" s="9" t="n"/>
      <c r="M33" s="9" t="n"/>
      <c r="N33" s="36">
        <f>IF(K33&lt;&gt;"",K33,IF(I33="high",IF(H33="",G33,H33),IF(I33="low",IF(F33="",G33,F33),G33)))</f>
        <v/>
      </c>
      <c r="O33" s="36">
        <f>IF(K33&lt;&gt;"",K33,G33)</f>
        <v/>
      </c>
      <c r="P33" s="36">
        <f>IF(K33&lt;&gt;"",K33,IF(I33="high",IF(F33="",G33,F33),IF(I33="low",IF(H33="",G33,H33),G33)))</f>
        <v/>
      </c>
      <c r="Q33" s="36">
        <f>IF(M33&lt;&gt;"",M33,J33)</f>
        <v/>
      </c>
      <c r="R33" s="37" t="inlineStr">
        <is>
          <t>HM Treasury GDP deflators, September 2026</t>
        </is>
      </c>
      <c r="S33" s="37" t="inlineStr">
        <is>
          <t>1 October 2026</t>
        </is>
      </c>
      <c r="T33" s="37" t="inlineStr">
        <is>
          <t>Financial-year column</t>
        </is>
      </c>
      <c r="U33" s="37" t="inlineStr">
        <is>
          <t>2024-25 = 96.757; 2026-27 = 102.006</t>
        </is>
      </c>
      <c r="V33" s="37" t="inlineStr">
        <is>
          <t>Our calculation; a general price deflator, not a rent index</t>
        </is>
      </c>
      <c r="W33" s="38" t="inlineStr">
        <is>
          <t>Open source</t>
        </is>
      </c>
    </row>
    <row r="34">
      <c r="A34" s="34" t="inlineStr">
        <is>
          <t>V4</t>
        </is>
      </c>
      <c r="B34" s="34" t="inlineStr">
        <is>
          <t>Value of the space</t>
        </is>
      </c>
      <c r="C34" s="35" t="inlineStr">
        <is>
          <t>Rent paid by the council to a private landlord</t>
        </is>
      </c>
      <c r="D34" s="35" t="inlineStr">
        <is>
          <t>Cost and transfer lines</t>
        </is>
      </c>
      <c r="E34" s="34" t="inlineStr">
        <is>
          <t>£ a year</t>
        </is>
      </c>
      <c r="F34" s="34" t="n"/>
      <c r="G34" s="34" t="inlineStr">
        <is>
          <t>Officer input</t>
        </is>
      </c>
      <c r="H34" s="34" t="n"/>
      <c r="I34" s="34" t="inlineStr"/>
      <c r="J34" s="34" t="inlineStr">
        <is>
          <t>Rule</t>
        </is>
      </c>
      <c r="K34" s="9" t="n"/>
      <c r="L34" s="9" t="n"/>
      <c r="M34" s="9" t="n"/>
      <c r="N34" s="36">
        <f>IF(K34&lt;&gt;"",K34,IF(I34="high",IF(H34="",G34,H34),IF(I34="low",IF(F34="",G34,F34),G34)))</f>
        <v/>
      </c>
      <c r="O34" s="36">
        <f>IF(K34&lt;&gt;"",K34,G34)</f>
        <v/>
      </c>
      <c r="P34" s="36">
        <f>IF(K34&lt;&gt;"",K34,IF(I34="high",IF(F34="",G34,F34),IF(I34="low",IF(H34="",G34,H34),G34)))</f>
        <v/>
      </c>
      <c r="Q34" s="36">
        <f>IF(M34&lt;&gt;"",M34,J34)</f>
        <v/>
      </c>
      <c r="R34" s="37" t="inlineStr">
        <is>
          <t>MHCLG Appraisal Guide, 4th edition</t>
        </is>
      </c>
      <c r="S34" s="37" t="inlineStr">
        <is>
          <t>February 2026</t>
        </is>
      </c>
      <c r="T34" s="37" t="inlineStr">
        <is>
          <t>3.34 and footnote 15</t>
        </is>
      </c>
      <c r="U34" s="37" t="inlineStr"/>
      <c r="V34" s="37" t="inlineStr">
        <is>
          <t>Decisions 2 and 12. A transfer: counted in net public cost with an equal offsetting benefit to the landlord. The value of the space (V1, V2) is the occupier's use of it, a separate benefit, so nothing is counted twice. Rent the occupier pays is a transfer between private parties and is left out</t>
        </is>
      </c>
      <c r="W34" s="38" t="inlineStr">
        <is>
          <t>Open source</t>
        </is>
      </c>
    </row>
    <row r="35">
      <c r="A35" s="34" t="inlineStr">
        <is>
          <t>J1</t>
        </is>
      </c>
      <c r="B35" s="34" t="inlineStr">
        <is>
          <t>Jobs</t>
        </is>
      </c>
      <c r="C35" s="35" t="inlineStr">
        <is>
          <t>Employment density (floor area per FTE)</t>
        </is>
      </c>
      <c r="D35" s="35" t="inlineStr">
        <is>
          <t>Pop-up retail</t>
        </is>
      </c>
      <c r="E35" s="34" t="inlineStr">
        <is>
          <t>m2 per FTE</t>
        </is>
      </c>
      <c r="F35" s="34" t="n">
        <v>15</v>
      </c>
      <c r="G35" s="34" t="n">
        <v>17.5</v>
      </c>
      <c r="H35" s="34" t="n">
        <v>20</v>
      </c>
      <c r="I35" s="34" t="inlineStr">
        <is>
          <t>high</t>
        </is>
      </c>
      <c r="J35" s="34" t="n">
        <v>6</v>
      </c>
      <c r="K35" s="9" t="n"/>
      <c r="L35" s="9" t="n"/>
      <c r="M35" s="9" t="n"/>
      <c r="N35" s="36">
        <f>IF(K35&lt;&gt;"",K35,IF(I35="high",IF(H35="",G35,H35),IF(I35="low",IF(F35="",G35,F35),G35)))</f>
        <v/>
      </c>
      <c r="O35" s="36">
        <f>IF(K35&lt;&gt;"",K35,G35)</f>
        <v/>
      </c>
      <c r="P35" s="36">
        <f>IF(K35&lt;&gt;"",K35,IF(I35="high",IF(F35="",G35,F35),IF(I35="low",IF(H35="",G35,H35),G35)))</f>
        <v/>
      </c>
      <c r="Q35" s="36">
        <f>IF(M35&lt;&gt;"",M35,J35)</f>
        <v/>
      </c>
      <c r="R35" s="37" t="inlineStr">
        <is>
          <t>HCA Employment Density Guide, 3rd edition (Bilfinger GVA)</t>
        </is>
      </c>
      <c r="S35" s="37" t="inlineStr">
        <is>
          <t>November 2015</t>
        </is>
      </c>
      <c r="T35" s="37" t="inlineStr">
        <is>
          <t>Section 4 density matrix, page 29</t>
        </is>
      </c>
      <c r="U35" s="37" t="inlineStr">
        <is>
          <t>A1 retail, high street (NIA)</t>
        </is>
      </c>
      <c r="V35" s="37" t="inlineStr">
        <is>
          <t>Low density = more jobs. Central is the midpoint (our calculation). The Guide says it should not be relied on for appraisals needing central government approval; the method note says so</t>
        </is>
      </c>
      <c r="W35" s="38" t="inlineStr">
        <is>
          <t>Open source</t>
        </is>
      </c>
    </row>
    <row r="36">
      <c r="A36" s="34" t="inlineStr">
        <is>
          <t>J2</t>
        </is>
      </c>
      <c r="B36" s="34" t="inlineStr">
        <is>
          <t>Jobs</t>
        </is>
      </c>
      <c r="C36" s="35" t="inlineStr">
        <is>
          <t>Employment density (floor area per FTE)</t>
        </is>
      </c>
      <c r="D36" s="35" t="inlineStr">
        <is>
          <t>Food and drink</t>
        </is>
      </c>
      <c r="E36" s="34" t="inlineStr">
        <is>
          <t>m2 per FTE</t>
        </is>
      </c>
      <c r="F36" s="34" t="n">
        <v>15</v>
      </c>
      <c r="G36" s="34" t="n">
        <v>17.5</v>
      </c>
      <c r="H36" s="34" t="n">
        <v>20</v>
      </c>
      <c r="I36" s="34" t="inlineStr">
        <is>
          <t>high</t>
        </is>
      </c>
      <c r="J36" s="34" t="n">
        <v>6</v>
      </c>
      <c r="K36" s="9" t="n"/>
      <c r="L36" s="9" t="n"/>
      <c r="M36" s="9" t="n"/>
      <c r="N36" s="36">
        <f>IF(K36&lt;&gt;"",K36,IF(I36="high",IF(H36="",G36,H36),IF(I36="low",IF(F36="",G36,F36),G36)))</f>
        <v/>
      </c>
      <c r="O36" s="36">
        <f>IF(K36&lt;&gt;"",K36,G36)</f>
        <v/>
      </c>
      <c r="P36" s="36">
        <f>IF(K36&lt;&gt;"",K36,IF(I36="high",IF(F36="",G36,F36),IF(I36="low",IF(H36="",G36,H36),G36)))</f>
        <v/>
      </c>
      <c r="Q36" s="36">
        <f>IF(M36&lt;&gt;"",M36,J36)</f>
        <v/>
      </c>
      <c r="R36" s="37" t="inlineStr">
        <is>
          <t>HCA Employment Density Guide, 3rd edition (Bilfinger GVA)</t>
        </is>
      </c>
      <c r="S36" s="37" t="inlineStr">
        <is>
          <t>November 2015</t>
        </is>
      </c>
      <c r="T36" s="37" t="inlineStr">
        <is>
          <t>Section 4 density matrix, page 29</t>
        </is>
      </c>
      <c r="U36" s="37" t="inlineStr">
        <is>
          <t>A3 restaurants and cafes (NIA)</t>
        </is>
      </c>
      <c r="V36" s="37" t="inlineStr">
        <is>
          <t>Low density = more jobs. Central is the midpoint (our calculation). The Guide says it should not be relied on for appraisals needing central government approval; the method note says so</t>
        </is>
      </c>
      <c r="W36" s="38" t="inlineStr">
        <is>
          <t>Open source</t>
        </is>
      </c>
    </row>
    <row r="37">
      <c r="A37" s="34" t="inlineStr">
        <is>
          <t>J3</t>
        </is>
      </c>
      <c r="B37" s="34" t="inlineStr">
        <is>
          <t>Jobs</t>
        </is>
      </c>
      <c r="C37" s="35" t="inlineStr">
        <is>
          <t>Employment density (floor area per FTE)</t>
        </is>
      </c>
      <c r="D37" s="35" t="inlineStr">
        <is>
          <t>Creative studios and makers</t>
        </is>
      </c>
      <c r="E37" s="34" t="inlineStr">
        <is>
          <t>m2 per FTE</t>
        </is>
      </c>
      <c r="F37" s="34" t="n">
        <v>15</v>
      </c>
      <c r="G37" s="34" t="n">
        <v>27.5</v>
      </c>
      <c r="H37" s="34" t="n">
        <v>40</v>
      </c>
      <c r="I37" s="34" t="inlineStr">
        <is>
          <t>high</t>
        </is>
      </c>
      <c r="J37" s="34" t="n">
        <v>6</v>
      </c>
      <c r="K37" s="9" t="n"/>
      <c r="L37" s="9" t="n"/>
      <c r="M37" s="9" t="n"/>
      <c r="N37" s="36">
        <f>IF(K37&lt;&gt;"",K37,IF(I37="high",IF(H37="",G37,H37),IF(I37="low",IF(F37="",G37,F37),G37)))</f>
        <v/>
      </c>
      <c r="O37" s="36">
        <f>IF(K37&lt;&gt;"",K37,G37)</f>
        <v/>
      </c>
      <c r="P37" s="36">
        <f>IF(K37&lt;&gt;"",K37,IF(I37="high",IF(F37="",G37,F37),IF(I37="low",IF(H37="",G37,H37),G37)))</f>
        <v/>
      </c>
      <c r="Q37" s="36">
        <f>IF(M37&lt;&gt;"",M37,J37)</f>
        <v/>
      </c>
      <c r="R37" s="37" t="inlineStr">
        <is>
          <t>HCA Employment Density Guide, 3rd edition (Bilfinger GVA)</t>
        </is>
      </c>
      <c r="S37" s="37" t="inlineStr">
        <is>
          <t>November 2015</t>
        </is>
      </c>
      <c r="T37" s="37" t="inlineStr">
        <is>
          <t>Section 4 density matrix, page 29</t>
        </is>
      </c>
      <c r="U37" s="37" t="inlineStr">
        <is>
          <t>Studio 20-40; maker spaces 15-40 (various)</t>
        </is>
      </c>
      <c r="V37" s="37" t="inlineStr">
        <is>
          <t>Low density = more jobs. Central is the midpoint (our calculation). The Guide says it should not be relied on for appraisals needing central government approval; the method note says so</t>
        </is>
      </c>
      <c r="W37" s="38" t="inlineStr">
        <is>
          <t>Open source</t>
        </is>
      </c>
    </row>
    <row r="38">
      <c r="A38" s="34" t="inlineStr">
        <is>
          <t>J4</t>
        </is>
      </c>
      <c r="B38" s="34" t="inlineStr">
        <is>
          <t>Jobs</t>
        </is>
      </c>
      <c r="C38" s="35" t="inlineStr">
        <is>
          <t>Employment density (floor area per FTE)</t>
        </is>
      </c>
      <c r="D38" s="35" t="inlineStr">
        <is>
          <t>Workspace and co-working</t>
        </is>
      </c>
      <c r="E38" s="34" t="inlineStr">
        <is>
          <t>m2 per FTE</t>
        </is>
      </c>
      <c r="F38" s="34" t="n">
        <v>10</v>
      </c>
      <c r="G38" s="34" t="n">
        <v>28.5</v>
      </c>
      <c r="H38" s="34" t="n">
        <v>47</v>
      </c>
      <c r="I38" s="34" t="inlineStr">
        <is>
          <t>high</t>
        </is>
      </c>
      <c r="J38" s="34" t="n">
        <v>6</v>
      </c>
      <c r="K38" s="9" t="n"/>
      <c r="L38" s="9" t="n"/>
      <c r="M38" s="9" t="n"/>
      <c r="N38" s="36">
        <f>IF(K38&lt;&gt;"",K38,IF(I38="high",IF(H38="",G38,H38),IF(I38="low",IF(F38="",G38,F38),G38)))</f>
        <v/>
      </c>
      <c r="O38" s="36">
        <f>IF(K38&lt;&gt;"",K38,G38)</f>
        <v/>
      </c>
      <c r="P38" s="36">
        <f>IF(K38&lt;&gt;"",K38,IF(I38="high",IF(F38="",G38,F38),IF(I38="low",IF(H38="",G38,H38),G38)))</f>
        <v/>
      </c>
      <c r="Q38" s="36">
        <f>IF(M38&lt;&gt;"",M38,J38)</f>
        <v/>
      </c>
      <c r="R38" s="37" t="inlineStr">
        <is>
          <t>HCA Employment Density Guide, 3rd edition (Bilfinger GVA)</t>
        </is>
      </c>
      <c r="S38" s="37" t="inlineStr">
        <is>
          <t>November 2015</t>
        </is>
      </c>
      <c r="T38" s="37" t="inlineStr">
        <is>
          <t>Section 4 density matrix, page 29</t>
        </is>
      </c>
      <c r="U38" s="37" t="inlineStr">
        <is>
          <t>Co-working 10-15; managed workspace 12-47 (various)</t>
        </is>
      </c>
      <c r="V38" s="37" t="inlineStr">
        <is>
          <t>Low density = more jobs. Central is the midpoint (our calculation). The Guide says it should not be relied on for appraisals needing central government approval; the method note says so</t>
        </is>
      </c>
      <c r="W38" s="38" t="inlineStr">
        <is>
          <t>Open source</t>
        </is>
      </c>
    </row>
    <row r="39">
      <c r="A39" s="34" t="inlineStr">
        <is>
          <t>J5</t>
        </is>
      </c>
      <c r="B39" s="34" t="inlineStr">
        <is>
          <t>Jobs</t>
        </is>
      </c>
      <c r="C39" s="35" t="inlineStr">
        <is>
          <t>Employment density (floor area per FTE)</t>
        </is>
      </c>
      <c r="D39" s="35" t="inlineStr">
        <is>
          <t>Health and wellbeing</t>
        </is>
      </c>
      <c r="E39" s="34" t="inlineStr">
        <is>
          <t>m2 per FTE</t>
        </is>
      </c>
      <c r="F39" s="34" t="n">
        <v>65</v>
      </c>
      <c r="G39" s="34" t="n">
        <v>82.5</v>
      </c>
      <c r="H39" s="34" t="n">
        <v>100</v>
      </c>
      <c r="I39" s="34" t="inlineStr">
        <is>
          <t>high</t>
        </is>
      </c>
      <c r="J39" s="34" t="n">
        <v>6</v>
      </c>
      <c r="K39" s="9" t="n"/>
      <c r="L39" s="9" t="n"/>
      <c r="M39" s="9" t="n"/>
      <c r="N39" s="36">
        <f>IF(K39&lt;&gt;"",K39,IF(I39="high",IF(H39="",G39,H39),IF(I39="low",IF(F39="",G39,F39),G39)))</f>
        <v/>
      </c>
      <c r="O39" s="36">
        <f>IF(K39&lt;&gt;"",K39,G39)</f>
        <v/>
      </c>
      <c r="P39" s="36">
        <f>IF(K39&lt;&gt;"",K39,IF(I39="high",IF(F39="",G39,F39),IF(I39="low",IF(H39="",G39,H39),G39)))</f>
        <v/>
      </c>
      <c r="Q39" s="36">
        <f>IF(M39&lt;&gt;"",M39,J39)</f>
        <v/>
      </c>
      <c r="R39" s="37" t="inlineStr">
        <is>
          <t>HCA Employment Density Guide, 3rd edition (Bilfinger GVA)</t>
        </is>
      </c>
      <c r="S39" s="37" t="inlineStr">
        <is>
          <t>November 2015</t>
        </is>
      </c>
      <c r="T39" s="37" t="inlineStr">
        <is>
          <t>Section 4 density matrix, page 29</t>
        </is>
      </c>
      <c r="U39" s="37" t="inlineStr">
        <is>
          <t>Fitness centres: mid-market 65, budget 100 (GIA)</t>
        </is>
      </c>
      <c r="V39" s="37" t="inlineStr">
        <is>
          <t>Low density = more jobs. Central is the midpoint (our calculation). The Guide says it should not be relied on for appraisals needing central government approval; the method note says so</t>
        </is>
      </c>
      <c r="W39" s="38" t="inlineStr">
        <is>
          <t>Open source</t>
        </is>
      </c>
    </row>
    <row r="40">
      <c r="A40" s="34" t="inlineStr">
        <is>
          <t>J6</t>
        </is>
      </c>
      <c r="B40" s="34" t="inlineStr">
        <is>
          <t>Jobs</t>
        </is>
      </c>
      <c r="C40" s="35" t="inlineStr">
        <is>
          <t>Employment density (floor area per FTE)</t>
        </is>
      </c>
      <c r="D40" s="35" t="inlineStr">
        <is>
          <t>Arts, culture and events</t>
        </is>
      </c>
      <c r="E40" s="34" t="inlineStr">
        <is>
          <t>m2 per FTE</t>
        </is>
      </c>
      <c r="F40" s="34" t="n">
        <v>30</v>
      </c>
      <c r="G40" s="34" t="inlineStr">
        <is>
          <t>Officer staffing, else J18</t>
        </is>
      </c>
      <c r="H40" s="34" t="n">
        <v>300</v>
      </c>
      <c r="I40" s="34" t="inlineStr">
        <is>
          <t>high</t>
        </is>
      </c>
      <c r="J40" s="34" t="n">
        <v>6</v>
      </c>
      <c r="K40" s="9" t="n"/>
      <c r="L40" s="9" t="n"/>
      <c r="M40" s="9" t="n"/>
      <c r="N40" s="36">
        <f>IF(K40&lt;&gt;"",K40,IF(I40="high",IF(H40="",G40,H40),IF(I40="low",IF(F40="",G40,F40),G40)))</f>
        <v/>
      </c>
      <c r="O40" s="36">
        <f>IF(K40&lt;&gt;"",K40,G40)</f>
        <v/>
      </c>
      <c r="P40" s="36">
        <f>IF(K40&lt;&gt;"",K40,IF(I40="high",IF(F40="",G40,F40),IF(I40="low",IF(H40="",G40,H40),G40)))</f>
        <v/>
      </c>
      <c r="Q40" s="36">
        <f>IF(M40&lt;&gt;"",M40,J40)</f>
        <v/>
      </c>
      <c r="R40" s="37" t="inlineStr">
        <is>
          <t>HCA Employment Density Guide, 3rd edition</t>
        </is>
      </c>
      <c r="S40" s="37" t="inlineStr">
        <is>
          <t>November 2015</t>
        </is>
      </c>
      <c r="T40" s="37" t="inlineStr">
        <is>
          <t>Section 4 matrix; 5.14 to 5.16</t>
        </is>
      </c>
      <c r="U40" s="37" t="inlineStr">
        <is>
          <t>Visitor and cultural attractions 30-300 (GIA)</t>
        </is>
      </c>
      <c r="V40" s="37" t="inlineStr">
        <is>
          <t>The Guide says a single density is 'impossible' for cultural uses and that its venue proxies 'should not be used as the basis for specific calculations themselves' (5.16). 30 to 300 is kept only as a plausibility check on the officer's figure</t>
        </is>
      </c>
      <c r="W40" s="38" t="inlineStr">
        <is>
          <t>Open source</t>
        </is>
      </c>
    </row>
    <row r="41">
      <c r="A41" s="34" t="inlineStr">
        <is>
          <t>J7</t>
        </is>
      </c>
      <c r="B41" s="34" t="inlineStr">
        <is>
          <t>Jobs</t>
        </is>
      </c>
      <c r="C41" s="35" t="inlineStr">
        <is>
          <t>Employment density (floor area per FTE)</t>
        </is>
      </c>
      <c r="D41" s="35" t="inlineStr">
        <is>
          <t>Community hub</t>
        </is>
      </c>
      <c r="E41" s="34" t="inlineStr">
        <is>
          <t>m2 per FTE</t>
        </is>
      </c>
      <c r="F41" s="34" t="n"/>
      <c r="G41" s="34" t="inlineStr">
        <is>
          <t>No published density</t>
        </is>
      </c>
      <c r="H41" s="34" t="n"/>
      <c r="I41" s="34" t="inlineStr"/>
      <c r="J41" s="34" t="n">
        <v>6</v>
      </c>
      <c r="K41" s="9" t="n"/>
      <c r="L41" s="9" t="n"/>
      <c r="M41" s="9" t="n"/>
      <c r="N41" s="36">
        <f>IF(K41&lt;&gt;"",K41,IF(I41="high",IF(H41="",G41,H41),IF(I41="low",IF(F41="",G41,F41),G41)))</f>
        <v/>
      </c>
      <c r="O41" s="36">
        <f>IF(K41&lt;&gt;"",K41,G41)</f>
        <v/>
      </c>
      <c r="P41" s="36">
        <f>IF(K41&lt;&gt;"",K41,IF(I41="high",IF(F41="",G41,F41),IF(I41="low",IF(H41="",G41,H41),G41)))</f>
        <v/>
      </c>
      <c r="Q41" s="36">
        <f>IF(M41&lt;&gt;"",M41,J41)</f>
        <v/>
      </c>
      <c r="R41" s="37" t="inlineStr">
        <is>
          <t>HCA Employment Density Guide, 3rd edition</t>
        </is>
      </c>
      <c r="S41" s="37" t="inlineStr">
        <is>
          <t>November 2015</t>
        </is>
      </c>
      <c r="T41" s="37" t="inlineStr">
        <is>
          <t>5.25 to 5.29</t>
        </is>
      </c>
      <c r="U41" s="37" t="inlineStr">
        <is>
          <t>no 'general' employment density</t>
        </is>
      </c>
      <c r="V41" s="37" t="inlineStr">
        <is>
          <t>Use the officer's own staffing figure, else the ONS FTE per local unit for the matching industry (J16)</t>
        </is>
      </c>
      <c r="W41" s="38" t="inlineStr">
        <is>
          <t>Open source</t>
        </is>
      </c>
    </row>
    <row r="42">
      <c r="A42" s="34" t="inlineStr">
        <is>
          <t>J8</t>
        </is>
      </c>
      <c r="B42" s="34" t="inlineStr">
        <is>
          <t>Jobs</t>
        </is>
      </c>
      <c r="C42" s="35" t="inlineStr">
        <is>
          <t>Employment density (floor area per FTE)</t>
        </is>
      </c>
      <c r="D42" s="35" t="inlineStr">
        <is>
          <t>Training and skills</t>
        </is>
      </c>
      <c r="E42" s="34" t="inlineStr">
        <is>
          <t>m2 per FTE</t>
        </is>
      </c>
      <c r="F42" s="34" t="n"/>
      <c r="G42" s="34" t="inlineStr">
        <is>
          <t>No published density</t>
        </is>
      </c>
      <c r="H42" s="34" t="n"/>
      <c r="I42" s="34" t="inlineStr"/>
      <c r="J42" s="34" t="n">
        <v>6</v>
      </c>
      <c r="K42" s="9" t="n"/>
      <c r="L42" s="9" t="n"/>
      <c r="M42" s="9" t="n"/>
      <c r="N42" s="36">
        <f>IF(K42&lt;&gt;"",K42,IF(I42="high",IF(H42="",G42,H42),IF(I42="low",IF(F42="",G42,F42),G42)))</f>
        <v/>
      </c>
      <c r="O42" s="36">
        <f>IF(K42&lt;&gt;"",K42,G42)</f>
        <v/>
      </c>
      <c r="P42" s="36">
        <f>IF(K42&lt;&gt;"",K42,IF(I42="high",IF(F42="",G42,F42),IF(I42="low",IF(H42="",G42,H42),G42)))</f>
        <v/>
      </c>
      <c r="Q42" s="36">
        <f>IF(M42&lt;&gt;"",M42,J42)</f>
        <v/>
      </c>
      <c r="R42" s="37" t="inlineStr">
        <is>
          <t>HCA Employment Density Guide, 3rd edition</t>
        </is>
      </c>
      <c r="S42" s="37" t="inlineStr">
        <is>
          <t>November 2015</t>
        </is>
      </c>
      <c r="T42" s="37" t="inlineStr">
        <is>
          <t>5.25 to 5.29</t>
        </is>
      </c>
      <c r="U42" s="37" t="inlineStr">
        <is>
          <t>no 'general' employment density</t>
        </is>
      </c>
      <c r="V42" s="37" t="inlineStr">
        <is>
          <t>Use the officer's own staffing figure, else the ONS FTE per local unit for the matching industry (J17)</t>
        </is>
      </c>
      <c r="W42" s="38" t="inlineStr">
        <is>
          <t>Open source</t>
        </is>
      </c>
    </row>
    <row r="43">
      <c r="A43" s="34" t="inlineStr">
        <is>
          <t>J9</t>
        </is>
      </c>
      <c r="B43" s="34" t="inlineStr">
        <is>
          <t>Jobs</t>
        </is>
      </c>
      <c r="C43" s="35" t="inlineStr">
        <is>
          <t>Activity factor: share of the space in use, against a fully occupied unit</t>
        </is>
      </c>
      <c r="D43" s="35" t="inlineStr">
        <is>
          <t>All uses</t>
        </is>
      </c>
      <c r="E43" s="34" t="inlineStr">
        <is>
          <t>%</t>
        </is>
      </c>
      <c r="F43" s="34" t="n">
        <v>50</v>
      </c>
      <c r="G43" s="34" t="n">
        <v>70</v>
      </c>
      <c r="H43" s="34" t="n">
        <v>90</v>
      </c>
      <c r="I43" s="34" t="inlineStr">
        <is>
          <t>low</t>
        </is>
      </c>
      <c r="J43" s="34" t="n">
        <v>6</v>
      </c>
      <c r="K43" s="9" t="n"/>
      <c r="L43" s="9" t="n"/>
      <c r="M43" s="9" t="n"/>
      <c r="N43" s="36">
        <f>IF(K43&lt;&gt;"",K43,IF(I43="high",IF(H43="",G43,H43),IF(I43="low",IF(F43="",G43,F43),G43)))</f>
        <v/>
      </c>
      <c r="O43" s="36">
        <f>IF(K43&lt;&gt;"",K43,G43)</f>
        <v/>
      </c>
      <c r="P43" s="36">
        <f>IF(K43&lt;&gt;"",K43,IF(I43="high",IF(F43="",G43,F43),IF(I43="low",IF(H43="",G43,H43),G43)))</f>
        <v/>
      </c>
      <c r="Q43" s="36">
        <f>IF(M43&lt;&gt;"",M43,J43)</f>
        <v/>
      </c>
      <c r="R43" s="37" t="inlineStr">
        <is>
          <t>HCA Employment Density Guide, 3rd edition</t>
        </is>
      </c>
      <c r="S43" s="37" t="inlineStr">
        <is>
          <t>November 2015</t>
        </is>
      </c>
      <c r="T43" s="37" t="inlineStr">
        <is>
          <t>2.15 to 2.16</t>
        </is>
      </c>
      <c r="U43" s="37" t="inlineStr">
        <is>
          <t>There is no 'rule of thumb' to allocate a vacancy rate ... sensitivity analysis is used to generate a number of vacancy rate scenarios (e.g. 50%, 70%, 90%)</t>
        </is>
      </c>
      <c r="V43" s="37" t="inlineStr">
        <is>
          <t>The Guide's scenarios are for building vacancy; we use them for how fully a meanwhile unit is used (studios let, hours open), which is our extension. Open Doors sites were in use for 56% to 83% of available hours in February 2020. The officer can replace this with opening hours as a share of a full-time week</t>
        </is>
      </c>
      <c r="W43" s="38" t="inlineStr">
        <is>
          <t>Open source</t>
        </is>
      </c>
    </row>
    <row r="44">
      <c r="A44" s="34" t="inlineStr">
        <is>
          <t>J10</t>
        </is>
      </c>
      <c r="B44" s="34" t="inlineStr">
        <is>
          <t>Jobs</t>
        </is>
      </c>
      <c r="C44" s="35" t="inlineStr">
        <is>
          <t>Part-time to full-time conversion</t>
        </is>
      </c>
      <c r="D44" s="35" t="inlineStr">
        <is>
          <t>Officer staffing override</t>
        </is>
      </c>
      <c r="E44" s="34" t="inlineStr">
        <is>
          <t>part-time posts per FTE</t>
        </is>
      </c>
      <c r="F44" s="34" t="n"/>
      <c r="G44" s="34" t="n">
        <v>2</v>
      </c>
      <c r="H44" s="34" t="n"/>
      <c r="I44" s="34" t="inlineStr"/>
      <c r="J44" s="34" t="n">
        <v>6</v>
      </c>
      <c r="K44" s="9" t="n"/>
      <c r="L44" s="9" t="n"/>
      <c r="M44" s="9" t="n"/>
      <c r="N44" s="36">
        <f>IF(K44&lt;&gt;"",K44,IF(I44="high",IF(H44="",G44,H44),IF(I44="low",IF(F44="",G44,F44),G44)))</f>
        <v/>
      </c>
      <c r="O44" s="36">
        <f>IF(K44&lt;&gt;"",K44,G44)</f>
        <v/>
      </c>
      <c r="P44" s="36">
        <f>IF(K44&lt;&gt;"",K44,IF(I44="high",IF(F44="",G44,F44),IF(I44="low",IF(H44="",G44,H44),G44)))</f>
        <v/>
      </c>
      <c r="Q44" s="36">
        <f>IF(M44&lt;&gt;"",M44,J44)</f>
        <v/>
      </c>
      <c r="R44" s="37" t="inlineStr">
        <is>
          <t>HCA Employment Density Guide, 3rd edition</t>
        </is>
      </c>
      <c r="S44" s="37" t="inlineStr">
        <is>
          <t>November 2015</t>
        </is>
      </c>
      <c r="T44" s="37" t="inlineStr">
        <is>
          <t>2.20 to 2.22</t>
        </is>
      </c>
      <c r="U44" s="37" t="inlineStr">
        <is>
          <t>A ratio of 2:1 part-time staff to FTE should therefore be applied.</t>
        </is>
      </c>
      <c r="V44" s="37" t="inlineStr"/>
      <c r="W44" s="38" t="inlineStr">
        <is>
          <t>Open source</t>
        </is>
      </c>
    </row>
    <row r="45">
      <c r="A45" s="34" t="inlineStr">
        <is>
          <t>J11</t>
        </is>
      </c>
      <c r="B45" s="34" t="inlineStr">
        <is>
          <t>Jobs</t>
        </is>
      </c>
      <c r="C45" s="35" t="inlineStr">
        <is>
          <t>Net to gross internal area, retail units</t>
        </is>
      </c>
      <c r="D45" s="35" t="inlineStr">
        <is>
          <t>Floor area conversion</t>
        </is>
      </c>
      <c r="E45" s="34" t="inlineStr">
        <is>
          <t>%</t>
        </is>
      </c>
      <c r="F45" s="34" t="n"/>
      <c r="G45" s="34" t="n">
        <v>90</v>
      </c>
      <c r="H45" s="34" t="n"/>
      <c r="I45" s="34" t="inlineStr"/>
      <c r="J45" s="34" t="n">
        <v>6</v>
      </c>
      <c r="K45" s="9" t="n"/>
      <c r="L45" s="9" t="n"/>
      <c r="M45" s="9" t="n"/>
      <c r="N45" s="36">
        <f>IF(K45&lt;&gt;"",K45,IF(I45="high",IF(H45="",G45,H45),IF(I45="low",IF(F45="",G45,F45),G45)))</f>
        <v/>
      </c>
      <c r="O45" s="36">
        <f>IF(K45&lt;&gt;"",K45,G45)</f>
        <v/>
      </c>
      <c r="P45" s="36">
        <f>IF(K45&lt;&gt;"",K45,IF(I45="high",IF(F45="",G45,F45),IF(I45="low",IF(H45="",G45,H45),G45)))</f>
        <v/>
      </c>
      <c r="Q45" s="36">
        <f>IF(M45&lt;&gt;"",M45,J45)</f>
        <v/>
      </c>
      <c r="R45" s="37" t="inlineStr">
        <is>
          <t>HCA Employment Density Guide, 3rd edition</t>
        </is>
      </c>
      <c r="S45" s="37" t="inlineStr">
        <is>
          <t>November 2015</t>
        </is>
      </c>
      <c r="T45" s="37" t="inlineStr">
        <is>
          <t>2.10</t>
        </is>
      </c>
      <c r="U45" s="37" t="inlineStr">
        <is>
          <t>for retail units the net to gross internal area relationship can be in the region of 90%</t>
        </is>
      </c>
      <c r="V45" s="37" t="inlineStr">
        <is>
          <t>Other uses: gross typically 15% to 20% above net (2.10 to 2.12)</t>
        </is>
      </c>
      <c r="W45" s="38" t="inlineStr">
        <is>
          <t>Open source</t>
        </is>
      </c>
    </row>
    <row r="46">
      <c r="A46" s="34" t="inlineStr">
        <is>
          <t>J12</t>
        </is>
      </c>
      <c r="B46" s="34" t="inlineStr">
        <is>
          <t>Jobs</t>
        </is>
      </c>
      <c r="C46" s="35" t="inlineStr">
        <is>
          <t>FTE per local unit, SIC 47 (cross-check)</t>
        </is>
      </c>
      <c r="D46" s="35" t="inlineStr">
        <is>
          <t>Pop-up retail</t>
        </is>
      </c>
      <c r="E46" s="34" t="inlineStr">
        <is>
          <t>FTE per local unit</t>
        </is>
      </c>
      <c r="F46" s="34" t="n">
        <v>6.3157</v>
      </c>
      <c r="G46" s="34" t="n">
        <v>8.3832</v>
      </c>
      <c r="H46" s="34" t="n">
        <v>8.3832</v>
      </c>
      <c r="I46" s="34" t="inlineStr"/>
      <c r="J46" s="34" t="n">
        <v>3</v>
      </c>
      <c r="K46" s="9" t="n"/>
      <c r="L46" s="9" t="n"/>
      <c r="M46" s="9" t="n"/>
      <c r="N46" s="36">
        <f>IF(K46&lt;&gt;"",K46,IF(I46="high",IF(H46="",G46,H46),IF(I46="low",IF(F46="",G46,F46),G46)))</f>
        <v/>
      </c>
      <c r="O46" s="36">
        <f>IF(K46&lt;&gt;"",K46,G46)</f>
        <v/>
      </c>
      <c r="P46" s="36">
        <f>IF(K46&lt;&gt;"",K46,IF(I46="high",IF(F46="",G46,F46),IF(I46="low",IF(H46="",G46,H46),G46)))</f>
        <v/>
      </c>
      <c r="Q46" s="36">
        <f>IF(M46&lt;&gt;"",M46,J46)</f>
        <v/>
      </c>
      <c r="R46" s="37" t="inlineStr">
        <is>
          <t>ONS BRES 2024 (NOMIS NM_189_1) and UK Business Counts March 2025 (NOMIS NM_141_1)</t>
        </is>
      </c>
      <c r="S46" s="37" t="inlineStr">
        <is>
          <t>BRES 2024 (next: 18 November 2026); UKBC March 2025</t>
        </is>
      </c>
      <c r="T46" s="37" t="inlineStr">
        <is>
          <t>Gateshead, North East, England and Wales</t>
        </is>
      </c>
      <c r="U46" s="37" t="inlineStr"/>
      <c r="V46" s="37" t="inlineStr">
        <is>
          <t>Central = Gateshead; low and high = lowest and highest of Gateshead, North East and England and Wales. FTE = full-time + part-time / 2. Averages are pulled up by larger units. BRES cells are rounded; our calculation</t>
        </is>
      </c>
      <c r="W46" s="38" t="inlineStr">
        <is>
          <t>Open source</t>
        </is>
      </c>
    </row>
    <row r="47">
      <c r="A47" s="34" t="inlineStr">
        <is>
          <t>J13</t>
        </is>
      </c>
      <c r="B47" s="34" t="inlineStr">
        <is>
          <t>Jobs</t>
        </is>
      </c>
      <c r="C47" s="35" t="inlineStr">
        <is>
          <t>FTE per local unit, SIC 56 (cross-check)</t>
        </is>
      </c>
      <c r="D47" s="35" t="inlineStr">
        <is>
          <t>Food and drink</t>
        </is>
      </c>
      <c r="E47" s="34" t="inlineStr">
        <is>
          <t>FTE per local unit</t>
        </is>
      </c>
      <c r="F47" s="34" t="n">
        <v>5.8979</v>
      </c>
      <c r="G47" s="34" t="n">
        <v>5.9406</v>
      </c>
      <c r="H47" s="34" t="n">
        <v>7.1031</v>
      </c>
      <c r="I47" s="34" t="inlineStr"/>
      <c r="J47" s="34" t="n">
        <v>3</v>
      </c>
      <c r="K47" s="9" t="n"/>
      <c r="L47" s="9" t="n"/>
      <c r="M47" s="9" t="n"/>
      <c r="N47" s="36">
        <f>IF(K47&lt;&gt;"",K47,IF(I47="high",IF(H47="",G47,H47),IF(I47="low",IF(F47="",G47,F47),G47)))</f>
        <v/>
      </c>
      <c r="O47" s="36">
        <f>IF(K47&lt;&gt;"",K47,G47)</f>
        <v/>
      </c>
      <c r="P47" s="36">
        <f>IF(K47&lt;&gt;"",K47,IF(I47="high",IF(F47="",G47,F47),IF(I47="low",IF(H47="",G47,H47),G47)))</f>
        <v/>
      </c>
      <c r="Q47" s="36">
        <f>IF(M47&lt;&gt;"",M47,J47)</f>
        <v/>
      </c>
      <c r="R47" s="37" t="inlineStr">
        <is>
          <t>ONS BRES 2024 (NOMIS NM_189_1) and UK Business Counts March 2025 (NOMIS NM_141_1)</t>
        </is>
      </c>
      <c r="S47" s="37" t="inlineStr">
        <is>
          <t>BRES 2024 (next: 18 November 2026); UKBC March 2025</t>
        </is>
      </c>
      <c r="T47" s="37" t="inlineStr">
        <is>
          <t>Gateshead, North East, England and Wales</t>
        </is>
      </c>
      <c r="U47" s="37" t="inlineStr"/>
      <c r="V47" s="37" t="inlineStr">
        <is>
          <t>Central = Gateshead; low and high = lowest and highest of Gateshead, North East and England and Wales. FTE = full-time + part-time / 2. Averages are pulled up by larger units. BRES cells are rounded; our calculation</t>
        </is>
      </c>
      <c r="W47" s="38" t="inlineStr">
        <is>
          <t>Open source</t>
        </is>
      </c>
    </row>
    <row r="48">
      <c r="A48" s="34" t="inlineStr">
        <is>
          <t>J14</t>
        </is>
      </c>
      <c r="B48" s="34" t="inlineStr">
        <is>
          <t>Jobs</t>
        </is>
      </c>
      <c r="C48" s="35" t="inlineStr">
        <is>
          <t>FTE per local unit, SIC 90 (cross-check)</t>
        </is>
      </c>
      <c r="D48" s="35" t="inlineStr">
        <is>
          <t>Creative studios and makers</t>
        </is>
      </c>
      <c r="E48" s="34" t="inlineStr">
        <is>
          <t>FTE per local unit</t>
        </is>
      </c>
      <c r="F48" s="34" t="n">
        <v>2.2414</v>
      </c>
      <c r="G48" s="34" t="n">
        <v>2.4074</v>
      </c>
      <c r="H48" s="34" t="n">
        <v>2.4074</v>
      </c>
      <c r="I48" s="34" t="inlineStr"/>
      <c r="J48" s="34" t="n">
        <v>3</v>
      </c>
      <c r="K48" s="9" t="n"/>
      <c r="L48" s="9" t="n"/>
      <c r="M48" s="9" t="n"/>
      <c r="N48" s="36">
        <f>IF(K48&lt;&gt;"",K48,IF(I48="high",IF(H48="",G48,H48),IF(I48="low",IF(F48="",G48,F48),G48)))</f>
        <v/>
      </c>
      <c r="O48" s="36">
        <f>IF(K48&lt;&gt;"",K48,G48)</f>
        <v/>
      </c>
      <c r="P48" s="36">
        <f>IF(K48&lt;&gt;"",K48,IF(I48="high",IF(F48="",G48,F48),IF(I48="low",IF(H48="",G48,H48),G48)))</f>
        <v/>
      </c>
      <c r="Q48" s="36">
        <f>IF(M48&lt;&gt;"",M48,J48)</f>
        <v/>
      </c>
      <c r="R48" s="37" t="inlineStr">
        <is>
          <t>ONS BRES 2024 (NOMIS NM_189_1) and UK Business Counts March 2025 (NOMIS NM_141_1)</t>
        </is>
      </c>
      <c r="S48" s="37" t="inlineStr">
        <is>
          <t>BRES 2024 (next: 18 November 2026); UKBC March 2025</t>
        </is>
      </c>
      <c r="T48" s="37" t="inlineStr">
        <is>
          <t>Gateshead, North East, England and Wales</t>
        </is>
      </c>
      <c r="U48" s="37" t="inlineStr"/>
      <c r="V48" s="37" t="inlineStr">
        <is>
          <t>Central = North East; low and high from North East and England and Wales only. For Gateshead, BRES 2024 shows 500 employees in SIC 90 while all 60 of its local units employ fewer than 10 (March 2026 size-band count; the March 2025 unit count is also 60), so the two sources disagree for this cell and the Gateshead figure is not used. FTE = full-time + part-time / 2; our calculation</t>
        </is>
      </c>
      <c r="W48" s="38" t="inlineStr">
        <is>
          <t>Open source</t>
        </is>
      </c>
    </row>
    <row r="49">
      <c r="A49" s="34" t="inlineStr">
        <is>
          <t>J15</t>
        </is>
      </c>
      <c r="B49" s="34" t="inlineStr">
        <is>
          <t>Jobs</t>
        </is>
      </c>
      <c r="C49" s="35" t="inlineStr">
        <is>
          <t>FTE per local unit, SIC 74 (cross-check)</t>
        </is>
      </c>
      <c r="D49" s="35" t="inlineStr">
        <is>
          <t>Workspace and co-working</t>
        </is>
      </c>
      <c r="E49" s="34" t="inlineStr">
        <is>
          <t>FTE per local unit</t>
        </is>
      </c>
      <c r="F49" s="34" t="n">
        <v>2.3018</v>
      </c>
      <c r="G49" s="34" t="n">
        <v>5.6481</v>
      </c>
      <c r="H49" s="34" t="n">
        <v>5.6481</v>
      </c>
      <c r="I49" s="34" t="inlineStr"/>
      <c r="J49" s="34" t="n">
        <v>3</v>
      </c>
      <c r="K49" s="9" t="n"/>
      <c r="L49" s="9" t="n"/>
      <c r="M49" s="9" t="n"/>
      <c r="N49" s="36">
        <f>IF(K49&lt;&gt;"",K49,IF(I49="high",IF(H49="",G49,H49),IF(I49="low",IF(F49="",G49,F49),G49)))</f>
        <v/>
      </c>
      <c r="O49" s="36">
        <f>IF(K49&lt;&gt;"",K49,G49)</f>
        <v/>
      </c>
      <c r="P49" s="36">
        <f>IF(K49&lt;&gt;"",K49,IF(I49="high",IF(F49="",G49,F49),IF(I49="low",IF(H49="",G49,H49),G49)))</f>
        <v/>
      </c>
      <c r="Q49" s="36">
        <f>IF(M49&lt;&gt;"",M49,J49)</f>
        <v/>
      </c>
      <c r="R49" s="37" t="inlineStr">
        <is>
          <t>ONS BRES 2024 (NOMIS NM_189_1) and UK Business Counts March 2025 (NOMIS NM_141_1)</t>
        </is>
      </c>
      <c r="S49" s="37" t="inlineStr">
        <is>
          <t>BRES 2024 (next: 18 November 2026); UKBC March 2025</t>
        </is>
      </c>
      <c r="T49" s="37" t="inlineStr">
        <is>
          <t>Gateshead, North East, England and Wales</t>
        </is>
      </c>
      <c r="U49" s="37" t="inlineStr"/>
      <c r="V49" s="37" t="inlineStr">
        <is>
          <t>Central = Gateshead; low and high = lowest and highest of Gateshead, North East and England and Wales. FTE = full-time + part-time / 2. Averages are pulled up by larger units. BRES cells are rounded; our calculation</t>
        </is>
      </c>
      <c r="W49" s="38" t="inlineStr">
        <is>
          <t>Open source</t>
        </is>
      </c>
    </row>
    <row r="50">
      <c r="A50" s="34" t="inlineStr">
        <is>
          <t>J16</t>
        </is>
      </c>
      <c r="B50" s="34" t="inlineStr">
        <is>
          <t>Jobs</t>
        </is>
      </c>
      <c r="C50" s="35" t="inlineStr">
        <is>
          <t>FTE per local unit, SIC 94 (cross-check)</t>
        </is>
      </c>
      <c r="D50" s="35" t="inlineStr">
        <is>
          <t>Community hub</t>
        </is>
      </c>
      <c r="E50" s="34" t="inlineStr">
        <is>
          <t>FTE per local unit</t>
        </is>
      </c>
      <c r="F50" s="34" t="n">
        <v>7.8427</v>
      </c>
      <c r="G50" s="34" t="n">
        <v>9.2308</v>
      </c>
      <c r="H50" s="34" t="n">
        <v>9.2308</v>
      </c>
      <c r="I50" s="34" t="inlineStr"/>
      <c r="J50" s="34" t="n">
        <v>3</v>
      </c>
      <c r="K50" s="9" t="n"/>
      <c r="L50" s="9" t="n"/>
      <c r="M50" s="9" t="n"/>
      <c r="N50" s="36">
        <f>IF(K50&lt;&gt;"",K50,IF(I50="high",IF(H50="",G50,H50),IF(I50="low",IF(F50="",G50,F50),G50)))</f>
        <v/>
      </c>
      <c r="O50" s="36">
        <f>IF(K50&lt;&gt;"",K50,G50)</f>
        <v/>
      </c>
      <c r="P50" s="36">
        <f>IF(K50&lt;&gt;"",K50,IF(I50="high",IF(F50="",G50,F50),IF(I50="low",IF(H50="",G50,H50),G50)))</f>
        <v/>
      </c>
      <c r="Q50" s="36">
        <f>IF(M50&lt;&gt;"",M50,J50)</f>
        <v/>
      </c>
      <c r="R50" s="37" t="inlineStr">
        <is>
          <t>ONS BRES 2024 (NOMIS NM_189_1) and UK Business Counts March 2025 (NOMIS NM_141_1)</t>
        </is>
      </c>
      <c r="S50" s="37" t="inlineStr">
        <is>
          <t>BRES 2024 (next: 18 November 2026); UKBC March 2025</t>
        </is>
      </c>
      <c r="T50" s="37" t="inlineStr">
        <is>
          <t>Gateshead, North East, England and Wales</t>
        </is>
      </c>
      <c r="U50" s="37" t="inlineStr"/>
      <c r="V50" s="37" t="inlineStr">
        <is>
          <t>Central = Gateshead; low and high = lowest and highest of Gateshead, North East and England and Wales. FTE = full-time + part-time / 2. Averages are pulled up by larger units. BRES cells are rounded; our calculation</t>
        </is>
      </c>
      <c r="W50" s="38" t="inlineStr">
        <is>
          <t>Open source</t>
        </is>
      </c>
    </row>
    <row r="51">
      <c r="A51" s="34" t="inlineStr">
        <is>
          <t>J17</t>
        </is>
      </c>
      <c r="B51" s="34" t="inlineStr">
        <is>
          <t>Jobs</t>
        </is>
      </c>
      <c r="C51" s="35" t="inlineStr">
        <is>
          <t>FTE per local unit, SIC 8559 (cross-check)</t>
        </is>
      </c>
      <c r="D51" s="35" t="inlineStr">
        <is>
          <t>Training and skills</t>
        </is>
      </c>
      <c r="E51" s="34" t="inlineStr">
        <is>
          <t>FTE per local unit</t>
        </is>
      </c>
      <c r="F51" s="34" t="n">
        <v>9.713100000000001</v>
      </c>
      <c r="G51" s="34" t="n">
        <v>11.4286</v>
      </c>
      <c r="H51" s="34" t="n">
        <v>13.4058</v>
      </c>
      <c r="I51" s="34" t="inlineStr"/>
      <c r="J51" s="34" t="n">
        <v>3</v>
      </c>
      <c r="K51" s="9" t="n"/>
      <c r="L51" s="9" t="n"/>
      <c r="M51" s="9" t="n"/>
      <c r="N51" s="36">
        <f>IF(K51&lt;&gt;"",K51,IF(I51="high",IF(H51="",G51,H51),IF(I51="low",IF(F51="",G51,F51),G51)))</f>
        <v/>
      </c>
      <c r="O51" s="36">
        <f>IF(K51&lt;&gt;"",K51,G51)</f>
        <v/>
      </c>
      <c r="P51" s="36">
        <f>IF(K51&lt;&gt;"",K51,IF(I51="high",IF(F51="",G51,F51),IF(I51="low",IF(H51="",G51,H51),G51)))</f>
        <v/>
      </c>
      <c r="Q51" s="36">
        <f>IF(M51&lt;&gt;"",M51,J51)</f>
        <v/>
      </c>
      <c r="R51" s="37" t="inlineStr">
        <is>
          <t>ONS BRES 2024 (NOMIS NM_189_1) and UK Business Counts March 2025 (NOMIS NM_141_1)</t>
        </is>
      </c>
      <c r="S51" s="37" t="inlineStr">
        <is>
          <t>BRES 2024 (next: 18 November 2026); UKBC March 2025</t>
        </is>
      </c>
      <c r="T51" s="37" t="inlineStr">
        <is>
          <t>Gateshead, North East, England and Wales</t>
        </is>
      </c>
      <c r="U51" s="37" t="inlineStr"/>
      <c r="V51" s="37" t="inlineStr">
        <is>
          <t>Central = Gateshead; low and high = lowest and highest of Gateshead, North East and England and Wales. FTE = full-time + part-time / 2. Averages are pulled up by larger units. BRES cells are rounded; our calculation</t>
        </is>
      </c>
      <c r="W51" s="38" t="inlineStr">
        <is>
          <t>Open source</t>
        </is>
      </c>
    </row>
    <row r="52">
      <c r="A52" s="34" t="inlineStr">
        <is>
          <t>J18</t>
        </is>
      </c>
      <c r="B52" s="34" t="inlineStr">
        <is>
          <t>Jobs</t>
        </is>
      </c>
      <c r="C52" s="35" t="inlineStr">
        <is>
          <t>FTE per local unit, SIC 90 (cross-check)</t>
        </is>
      </c>
      <c r="D52" s="35" t="inlineStr">
        <is>
          <t>Arts, culture and events</t>
        </is>
      </c>
      <c r="E52" s="34" t="inlineStr">
        <is>
          <t>FTE per local unit</t>
        </is>
      </c>
      <c r="F52" s="34" t="n">
        <v>2.2414</v>
      </c>
      <c r="G52" s="34" t="n">
        <v>2.4074</v>
      </c>
      <c r="H52" s="34" t="n">
        <v>2.4074</v>
      </c>
      <c r="I52" s="34" t="inlineStr"/>
      <c r="J52" s="34" t="n">
        <v>3</v>
      </c>
      <c r="K52" s="9" t="n"/>
      <c r="L52" s="9" t="n"/>
      <c r="M52" s="9" t="n"/>
      <c r="N52" s="36">
        <f>IF(K52&lt;&gt;"",K52,IF(I52="high",IF(H52="",G52,H52),IF(I52="low",IF(F52="",G52,F52),G52)))</f>
        <v/>
      </c>
      <c r="O52" s="36">
        <f>IF(K52&lt;&gt;"",K52,G52)</f>
        <v/>
      </c>
      <c r="P52" s="36">
        <f>IF(K52&lt;&gt;"",K52,IF(I52="high",IF(F52="",G52,F52),IF(I52="low",IF(H52="",G52,H52),G52)))</f>
        <v/>
      </c>
      <c r="Q52" s="36">
        <f>IF(M52&lt;&gt;"",M52,J52)</f>
        <v/>
      </c>
      <c r="R52" s="37" t="inlineStr">
        <is>
          <t>ONS BRES 2024 (NOMIS NM_189_1) and UK Business Counts March 2025 (NOMIS NM_141_1)</t>
        </is>
      </c>
      <c r="S52" s="37" t="inlineStr">
        <is>
          <t>BRES 2024 (next: 18 November 2026); UKBC March 2025</t>
        </is>
      </c>
      <c r="T52" s="37" t="inlineStr">
        <is>
          <t>Gateshead, North East, England and Wales</t>
        </is>
      </c>
      <c r="U52" s="37" t="inlineStr"/>
      <c r="V52" s="37" t="inlineStr">
        <is>
          <t>Central = North East; low and high from North East and England and Wales only. For Gateshead, BRES 2024 shows 500 employees in SIC 90 while all 60 of its local units employ fewer than 10 (March 2026 size-band count; the March 2025 unit count is also 60), so the two sources disagree for this cell and the Gateshead figure is not used. FTE = full-time + part-time / 2; our calculation</t>
        </is>
      </c>
      <c r="W52" s="38" t="inlineStr">
        <is>
          <t>Open source</t>
        </is>
      </c>
    </row>
    <row r="53">
      <c r="A53" s="34" t="inlineStr">
        <is>
          <t>J19</t>
        </is>
      </c>
      <c r="B53" s="34" t="inlineStr">
        <is>
          <t>Jobs</t>
        </is>
      </c>
      <c r="C53" s="35" t="inlineStr">
        <is>
          <t>FTE per local unit, SIC 9313 (cross-check)</t>
        </is>
      </c>
      <c r="D53" s="35" t="inlineStr">
        <is>
          <t>Health and wellbeing</t>
        </is>
      </c>
      <c r="E53" s="34" t="inlineStr">
        <is>
          <t>FTE per local unit</t>
        </is>
      </c>
      <c r="F53" s="34" t="n">
        <v>2.375</v>
      </c>
      <c r="G53" s="34" t="n">
        <v>2.375</v>
      </c>
      <c r="H53" s="34" t="n">
        <v>5.4516</v>
      </c>
      <c r="I53" s="34" t="inlineStr"/>
      <c r="J53" s="34" t="n">
        <v>3</v>
      </c>
      <c r="K53" s="9" t="n"/>
      <c r="L53" s="9" t="n"/>
      <c r="M53" s="9" t="n"/>
      <c r="N53" s="36">
        <f>IF(K53&lt;&gt;"",K53,IF(I53="high",IF(H53="",G53,H53),IF(I53="low",IF(F53="",G53,F53),G53)))</f>
        <v/>
      </c>
      <c r="O53" s="36">
        <f>IF(K53&lt;&gt;"",K53,G53)</f>
        <v/>
      </c>
      <c r="P53" s="36">
        <f>IF(K53&lt;&gt;"",K53,IF(I53="high",IF(F53="",G53,F53),IF(I53="low",IF(H53="",G53,H53),G53)))</f>
        <v/>
      </c>
      <c r="Q53" s="36">
        <f>IF(M53&lt;&gt;"",M53,J53)</f>
        <v/>
      </c>
      <c r="R53" s="37" t="inlineStr">
        <is>
          <t>ONS BRES 2024 (NOMIS NM_189_1) and UK Business Counts March 2025 (NOMIS NM_141_1)</t>
        </is>
      </c>
      <c r="S53" s="37" t="inlineStr">
        <is>
          <t>BRES 2024 (next: 18 November 2026); UKBC March 2025</t>
        </is>
      </c>
      <c r="T53" s="37" t="inlineStr">
        <is>
          <t>Gateshead, North East, England and Wales</t>
        </is>
      </c>
      <c r="U53" s="37" t="inlineStr"/>
      <c r="V53" s="37" t="inlineStr">
        <is>
          <t>Central = Gateshead; low and high = lowest and highest of Gateshead, North East and England and Wales. FTE = full-time + part-time / 2. Averages are pulled up by larger units. BRES cells are rounded; our calculation</t>
        </is>
      </c>
      <c r="W53" s="38" t="inlineStr">
        <is>
          <t>Open source</t>
        </is>
      </c>
    </row>
    <row r="54">
      <c r="A54" s="34" t="inlineStr">
        <is>
          <t>J20</t>
        </is>
      </c>
      <c r="B54" s="34" t="inlineStr">
        <is>
          <t>Jobs</t>
        </is>
      </c>
      <c r="C54" s="35" t="inlineStr">
        <is>
          <t>Displacement of jobs at Gateshead level</t>
        </is>
      </c>
      <c r="D54" s="35" t="inlineStr">
        <is>
          <t>Retail and food and drink</t>
        </is>
      </c>
      <c r="E54" s="34" t="inlineStr">
        <is>
          <t>%</t>
        </is>
      </c>
      <c r="F54" s="34" t="n">
        <v>50</v>
      </c>
      <c r="G54" s="34" t="n">
        <v>50</v>
      </c>
      <c r="H54" s="34" t="n">
        <v>75</v>
      </c>
      <c r="I54" s="34" t="inlineStr">
        <is>
          <t>high</t>
        </is>
      </c>
      <c r="J54" s="34" t="n">
        <v>6</v>
      </c>
      <c r="K54" s="9" t="n"/>
      <c r="L54" s="9" t="n"/>
      <c r="M54" s="9" t="n"/>
      <c r="N54" s="36">
        <f>IF(K54&lt;&gt;"",K54,IF(I54="high",IF(H54="",G54,H54),IF(I54="low",IF(F54="",G54,F54),G54)))</f>
        <v/>
      </c>
      <c r="O54" s="36">
        <f>IF(K54&lt;&gt;"",K54,G54)</f>
        <v/>
      </c>
      <c r="P54" s="36">
        <f>IF(K54&lt;&gt;"",K54,IF(I54="high",IF(F54="",G54,F54),IF(I54="low",IF(H54="",G54,H54),G54)))</f>
        <v/>
      </c>
      <c r="Q54" s="36">
        <f>IF(M54&lt;&gt;"",M54,J54)</f>
        <v/>
      </c>
      <c r="R54" s="37" t="inlineStr">
        <is>
          <t>HCA Additionality Guide, 4th edition</t>
        </is>
      </c>
      <c r="S54" s="37" t="inlineStr">
        <is>
          <t>2014</t>
        </is>
      </c>
      <c r="T54" s="37" t="inlineStr">
        <is>
          <t>Table 4.8 ready reckoner (medium 50%, high 75%)</t>
        </is>
      </c>
      <c r="U54" s="37" t="inlineStr">
        <is>
          <t>About half of the activity would be displaced (medium)</t>
        </is>
      </c>
      <c r="V54" s="37" t="inlineStr">
        <is>
          <t>High because retail is a high displacement sector, as MHCLG's land value additionality framework (technical annex Figure 2) also says; using that framework for jobs is our extension</t>
        </is>
      </c>
      <c r="W54" s="38" t="inlineStr">
        <is>
          <t>Open source</t>
        </is>
      </c>
    </row>
    <row r="55">
      <c r="A55" s="34" t="inlineStr">
        <is>
          <t>J21</t>
        </is>
      </c>
      <c r="B55" s="34" t="inlineStr">
        <is>
          <t>Jobs</t>
        </is>
      </c>
      <c r="C55" s="35" t="inlineStr">
        <is>
          <t>Displacement of jobs at Gateshead level</t>
        </is>
      </c>
      <c r="D55" s="35" t="inlineStr">
        <is>
          <t>Creative, workspace, arts, health and wellbeing</t>
        </is>
      </c>
      <c r="E55" s="34" t="inlineStr">
        <is>
          <t>%</t>
        </is>
      </c>
      <c r="F55" s="34" t="n">
        <v>17</v>
      </c>
      <c r="G55" s="34" t="n">
        <v>38</v>
      </c>
      <c r="H55" s="34" t="n">
        <v>50</v>
      </c>
      <c r="I55" s="34" t="inlineStr">
        <is>
          <t>high</t>
        </is>
      </c>
      <c r="J55" s="34" t="n">
        <v>6</v>
      </c>
      <c r="K55" s="9" t="n"/>
      <c r="L55" s="9" t="n"/>
      <c r="M55" s="9" t="n"/>
      <c r="N55" s="36">
        <f>IF(K55&lt;&gt;"",K55,IF(I55="high",IF(H55="",G55,H55),IF(I55="low",IF(F55="",G55,F55),G55)))</f>
        <v/>
      </c>
      <c r="O55" s="36">
        <f>IF(K55&lt;&gt;"",K55,G55)</f>
        <v/>
      </c>
      <c r="P55" s="36">
        <f>IF(K55&lt;&gt;"",K55,IF(I55="high",IF(F55="",G55,F55),IF(I55="low",IF(H55="",G55,H55),G55)))</f>
        <v/>
      </c>
      <c r="Q55" s="36">
        <f>IF(M55&lt;&gt;"",M55,J55)</f>
        <v/>
      </c>
      <c r="R55" s="37" t="inlineStr">
        <is>
          <t>HCA Additionality Guide, 4th edition</t>
        </is>
      </c>
      <c r="S55" s="37" t="inlineStr">
        <is>
          <t>2014</t>
        </is>
      </c>
      <c r="T55" s="37" t="inlineStr">
        <is>
          <t>Table 4.5 (City Challenge final evaluation)</t>
        </is>
      </c>
      <c r="U55" s="37" t="inlineStr">
        <is>
          <t>Development: 17% within the City Challenge area, 38% at district level (paraphrase of Table 4.5)</t>
        </is>
      </c>
      <c r="V55" s="37" t="inlineStr">
        <is>
          <t>Central = district level, which matches a Gateshead lens. High = ready reckoner medium (Table 4.8)</t>
        </is>
      </c>
      <c r="W55" s="38" t="inlineStr">
        <is>
          <t>Open source</t>
        </is>
      </c>
    </row>
    <row r="56">
      <c r="A56" s="34" t="inlineStr">
        <is>
          <t>J22</t>
        </is>
      </c>
      <c r="B56" s="34" t="inlineStr">
        <is>
          <t>Jobs</t>
        </is>
      </c>
      <c r="C56" s="35" t="inlineStr">
        <is>
          <t>Displacement of jobs at Gateshead level</t>
        </is>
      </c>
      <c r="D56" s="35" t="inlineStr">
        <is>
          <t>Community hub and training</t>
        </is>
      </c>
      <c r="E56" s="34" t="inlineStr">
        <is>
          <t>%</t>
        </is>
      </c>
      <c r="F56" s="34" t="n">
        <v>8</v>
      </c>
      <c r="G56" s="34" t="n">
        <v>31</v>
      </c>
      <c r="H56" s="34" t="n">
        <v>50</v>
      </c>
      <c r="I56" s="34" t="inlineStr">
        <is>
          <t>high</t>
        </is>
      </c>
      <c r="J56" s="34" t="n">
        <v>6</v>
      </c>
      <c r="K56" s="9" t="n"/>
      <c r="L56" s="9" t="n"/>
      <c r="M56" s="9" t="n"/>
      <c r="N56" s="36">
        <f>IF(K56&lt;&gt;"",K56,IF(I56="high",IF(H56="",G56,H56),IF(I56="low",IF(F56="",G56,F56),G56)))</f>
        <v/>
      </c>
      <c r="O56" s="36">
        <f>IF(K56&lt;&gt;"",K56,G56)</f>
        <v/>
      </c>
      <c r="P56" s="36">
        <f>IF(K56&lt;&gt;"",K56,IF(I56="high",IF(F56="",G56,F56),IF(I56="low",IF(H56="",G56,H56),G56)))</f>
        <v/>
      </c>
      <c r="Q56" s="36">
        <f>IF(M56&lt;&gt;"",M56,J56)</f>
        <v/>
      </c>
      <c r="R56" s="37" t="inlineStr">
        <is>
          <t>HCA Additionality Guide, 4th edition</t>
        </is>
      </c>
      <c r="S56" s="37" t="inlineStr">
        <is>
          <t>2014</t>
        </is>
      </c>
      <c r="T56" s="37" t="inlineStr">
        <is>
          <t>Table 4.5 (City Challenge final evaluation)</t>
        </is>
      </c>
      <c r="U56" s="37" t="inlineStr">
        <is>
          <t>Training and education: 8% within the City Challenge area, 31% at district level (paraphrase of Table 4.5)</t>
        </is>
      </c>
      <c r="V56" s="37" t="inlineStr">
        <is>
          <t>Central = district level. High = ready reckoner medium (Table 4.8)</t>
        </is>
      </c>
      <c r="W56" s="38" t="inlineStr">
        <is>
          <t>Open source</t>
        </is>
      </c>
    </row>
    <row r="57">
      <c r="A57" s="34" t="inlineStr">
        <is>
          <t>J23</t>
        </is>
      </c>
      <c r="B57" s="34" t="inlineStr">
        <is>
          <t>Jobs</t>
        </is>
      </c>
      <c r="C57" s="35" t="inlineStr">
        <is>
          <t>Leakage of workplace jobs and GVA</t>
        </is>
      </c>
      <c r="D57" s="35" t="inlineStr">
        <is>
          <t>Gateshead lens</t>
        </is>
      </c>
      <c r="E57" s="34" t="inlineStr">
        <is>
          <t>%</t>
        </is>
      </c>
      <c r="F57" s="34" t="n"/>
      <c r="G57" s="34" t="n">
        <v>0</v>
      </c>
      <c r="H57" s="34" t="n"/>
      <c r="I57" s="34" t="inlineStr"/>
      <c r="J57" s="34" t="inlineStr">
        <is>
          <t>Rule</t>
        </is>
      </c>
      <c r="K57" s="9" t="n"/>
      <c r="L57" s="9" t="n"/>
      <c r="M57" s="9" t="n"/>
      <c r="N57" s="36">
        <f>IF(K57&lt;&gt;"",K57,IF(I57="high",IF(H57="",G57,H57),IF(I57="low",IF(F57="",G57,F57),G57)))</f>
        <v/>
      </c>
      <c r="O57" s="36">
        <f>IF(K57&lt;&gt;"",K57,G57)</f>
        <v/>
      </c>
      <c r="P57" s="36">
        <f>IF(K57&lt;&gt;"",K57,IF(I57="high",IF(F57="",G57,F57),IF(I57="low",IF(H57="",G57,H57),G57)))</f>
        <v/>
      </c>
      <c r="Q57" s="36">
        <f>IF(M57&lt;&gt;"",M57,J57)</f>
        <v/>
      </c>
      <c r="R57" s="37" t="inlineStr">
        <is>
          <t>Our judgement</t>
        </is>
      </c>
      <c r="S57" s="37" t="inlineStr"/>
      <c r="T57" s="37" t="inlineStr"/>
      <c r="U57" s="37" t="inlineStr"/>
      <c r="V57" s="37" t="inlineStr">
        <is>
          <t>Jobs and GVA located in Gateshead are Gateshead outputs by construction, so no leakage applies to them. Leakage applies only to resident outcomes (row S3). One of the Additionality Guide's worked examples used 10%, for resident-based effects</t>
        </is>
      </c>
      <c r="W57" s="36" t="n"/>
    </row>
    <row r="58">
      <c r="A58" s="34" t="inlineStr">
        <is>
          <t>J24</t>
        </is>
      </c>
      <c r="B58" s="34" t="inlineStr">
        <is>
          <t>Jobs</t>
        </is>
      </c>
      <c r="C58" s="35" t="inlineStr">
        <is>
          <t>Local multiplier (Gateshead level)</t>
        </is>
      </c>
      <c r="D58" s="35" t="inlineStr">
        <is>
          <t>All uses, Gateshead lens</t>
        </is>
      </c>
      <c r="E58" s="34" t="inlineStr">
        <is>
          <t>multiplier</t>
        </is>
      </c>
      <c r="F58" s="34" t="n">
        <v>1.05</v>
      </c>
      <c r="G58" s="34" t="n">
        <v>1.1</v>
      </c>
      <c r="H58" s="34" t="n">
        <v>1.15</v>
      </c>
      <c r="I58" s="34" t="inlineStr">
        <is>
          <t>low</t>
        </is>
      </c>
      <c r="J58" s="34" t="n">
        <v>6</v>
      </c>
      <c r="K58" s="9" t="n"/>
      <c r="L58" s="9" t="n"/>
      <c r="M58" s="9" t="n"/>
      <c r="N58" s="36">
        <f>IF(K58&lt;&gt;"",K58,IF(I58="high",IF(H58="",G58,H58),IF(I58="low",IF(F58="",G58,F58),G58)))</f>
        <v/>
      </c>
      <c r="O58" s="36">
        <f>IF(K58&lt;&gt;"",K58,G58)</f>
        <v/>
      </c>
      <c r="P58" s="36">
        <f>IF(K58&lt;&gt;"",K58,IF(I58="high",IF(F58="",G58,F58),IF(I58="low",IF(H58="",G58,H58),G58)))</f>
        <v/>
      </c>
      <c r="Q58" s="36">
        <f>IF(M58&lt;&gt;"",M58,J58)</f>
        <v/>
      </c>
      <c r="R58" s="37" t="inlineStr">
        <is>
          <t>HCA Additionality Guide, 4th edition; MHCLG Appraisal Guide</t>
        </is>
      </c>
      <c r="S58" s="37" t="inlineStr">
        <is>
          <t>2014; February 2026</t>
        </is>
      </c>
      <c r="T58" s="37" t="inlineStr">
        <is>
          <t>Table 4.14 (neighbourhood level); MHCLG 6.25</t>
        </is>
      </c>
      <c r="U58" s="37" t="inlineStr">
        <is>
          <t>neighbourhood level low 1.05, medium 1.1, high 1.15 (compiled from Table 4.14)</t>
        </is>
      </c>
      <c r="V58" s="37" t="inlineStr">
        <is>
          <t>Milton Keynes Bletchley business case used 1.1. Not used in the UK lens (Green Book 6.43)</t>
        </is>
      </c>
      <c r="W58" s="38" t="inlineStr">
        <is>
          <t>Open source</t>
        </is>
      </c>
    </row>
    <row r="59">
      <c r="A59" s="34" t="inlineStr">
        <is>
          <t>J25</t>
        </is>
      </c>
      <c r="B59" s="34" t="inlineStr">
        <is>
          <t>Jobs</t>
        </is>
      </c>
      <c r="C59" s="35" t="inlineStr">
        <is>
          <t>Additional jobs at UK level</t>
        </is>
      </c>
      <c r="D59" s="35" t="inlineStr">
        <is>
          <t>UK lens</t>
        </is>
      </c>
      <c r="E59" s="34" t="inlineStr">
        <is>
          <t>%</t>
        </is>
      </c>
      <c r="F59" s="34" t="n"/>
      <c r="G59" s="34" t="n">
        <v>0</v>
      </c>
      <c r="H59" s="34" t="n"/>
      <c r="I59" s="34" t="inlineStr"/>
      <c r="J59" s="34" t="inlineStr">
        <is>
          <t>Rule</t>
        </is>
      </c>
      <c r="K59" s="9" t="n"/>
      <c r="L59" s="9" t="n"/>
      <c r="M59" s="9" t="n"/>
      <c r="N59" s="36">
        <f>IF(K59&lt;&gt;"",K59,IF(I59="high",IF(H59="",G59,H59),IF(I59="low",IF(F59="",G59,F59),G59)))</f>
        <v/>
      </c>
      <c r="O59" s="36">
        <f>IF(K59&lt;&gt;"",K59,G59)</f>
        <v/>
      </c>
      <c r="P59" s="36">
        <f>IF(K59&lt;&gt;"",K59,IF(I59="high",IF(F59="",G59,F59),IF(I59="low",IF(H59="",G59,H59),G59)))</f>
        <v/>
      </c>
      <c r="Q59" s="36">
        <f>IF(M59&lt;&gt;"",M59,J59)</f>
        <v/>
      </c>
      <c r="R59" s="37" t="inlineStr">
        <is>
          <t>HM Treasury, Green Book 2026</t>
        </is>
      </c>
      <c r="S59" s="37" t="inlineStr">
        <is>
          <t>February 2026</t>
        </is>
      </c>
      <c r="T59" s="37" t="inlineStr">
        <is>
          <t>8.41</t>
        </is>
      </c>
      <c r="U59" s="37" t="inlineStr">
        <is>
          <t>principle of full displacement of jobs ... every job created by the proposal will be filled by a worker who vacates a different job elsewhere</t>
        </is>
      </c>
      <c r="V59" s="37" t="inlineStr"/>
      <c r="W59" s="38" t="inlineStr">
        <is>
          <t>Open source</t>
        </is>
      </c>
    </row>
    <row r="60">
      <c r="A60" s="34" t="inlineStr">
        <is>
          <t>J26</t>
        </is>
      </c>
      <c r="B60" s="34" t="inlineStr">
        <is>
          <t>Jobs</t>
        </is>
      </c>
      <c r="C60" s="35" t="inlineStr">
        <is>
          <t>GVA per FTE, 47</t>
        </is>
      </c>
      <c r="D60" s="35" t="inlineStr">
        <is>
          <t>Pop-up retail</t>
        </is>
      </c>
      <c r="E60" s="34" t="inlineStr">
        <is>
          <t>£ per FTE a year</t>
        </is>
      </c>
      <c r="F60" s="34" t="n">
        <v>54217.7579</v>
      </c>
      <c r="G60" s="34" t="n">
        <v>66966.41220000001</v>
      </c>
      <c r="H60" s="34" t="n">
        <v>66966.41220000001</v>
      </c>
      <c r="I60" s="34" t="inlineStr">
        <is>
          <t>low</t>
        </is>
      </c>
      <c r="J60" s="34" t="n">
        <v>3</v>
      </c>
      <c r="K60" s="9" t="n"/>
      <c r="L60" s="9" t="n"/>
      <c r="M60" s="9" t="n"/>
      <c r="N60" s="36">
        <f>IF(K60&lt;&gt;"",K60,IF(I60="high",IF(H60="",G60,H60),IF(I60="low",IF(F60="",G60,F60),G60)))</f>
        <v/>
      </c>
      <c r="O60" s="36">
        <f>IF(K60&lt;&gt;"",K60,G60)</f>
        <v/>
      </c>
      <c r="P60" s="36">
        <f>IF(K60&lt;&gt;"",K60,IF(I60="high",IF(F60="",G60,F60),IF(I60="low",IF(H60="",G60,H60),G60)))</f>
        <v/>
      </c>
      <c r="Q60" s="36">
        <f>IF(M60&lt;&gt;"",M60,J60)</f>
        <v/>
      </c>
      <c r="R60" s="37" t="inlineStr">
        <is>
          <t>ONS regional GVA (balanced) by industry, current prices; BRES 2024</t>
        </is>
      </c>
      <c r="S60" s="37" t="inlineStr">
        <is>
          <t>Published 23 September 2026 (2024 data)</t>
        </is>
      </c>
      <c r="T60" s="37" t="inlineStr">
        <is>
          <t>Table 3 (local authorities) and Table 1c (ITL1); NOMIS NM_189_1</t>
        </is>
      </c>
      <c r="U60" s="37" t="inlineStr"/>
      <c r="V60" s="37" t="inlineStr">
        <is>
          <t>Gateshead indicator only (decision 1). GVA includes self-employed income while BRES counts employees and working owners, so per-FTE figures run high where self-employment is common (arts, personal services). 2024 values uprated to 2026. Our calculation</t>
        </is>
      </c>
      <c r="W60" s="38" t="inlineStr">
        <is>
          <t>Open source</t>
        </is>
      </c>
    </row>
    <row r="61">
      <c r="A61" s="34" t="inlineStr">
        <is>
          <t>J27</t>
        </is>
      </c>
      <c r="B61" s="34" t="inlineStr">
        <is>
          <t>Jobs</t>
        </is>
      </c>
      <c r="C61" s="35" t="inlineStr">
        <is>
          <t>GVA per FTE, I (55-56)</t>
        </is>
      </c>
      <c r="D61" s="35" t="inlineStr">
        <is>
          <t>Food and drink</t>
        </is>
      </c>
      <c r="E61" s="34" t="inlineStr">
        <is>
          <t>£ per FTE a year</t>
        </is>
      </c>
      <c r="F61" s="34" t="n">
        <v>35314.8728</v>
      </c>
      <c r="G61" s="34" t="n">
        <v>43527.2156</v>
      </c>
      <c r="H61" s="34" t="n">
        <v>43988.5712</v>
      </c>
      <c r="I61" s="34" t="inlineStr">
        <is>
          <t>low</t>
        </is>
      </c>
      <c r="J61" s="34" t="n">
        <v>3</v>
      </c>
      <c r="K61" s="9" t="n"/>
      <c r="L61" s="9" t="n"/>
      <c r="M61" s="9" t="n"/>
      <c r="N61" s="36">
        <f>IF(K61&lt;&gt;"",K61,IF(I61="high",IF(H61="",G61,H61),IF(I61="low",IF(F61="",G61,F61),G61)))</f>
        <v/>
      </c>
      <c r="O61" s="36">
        <f>IF(K61&lt;&gt;"",K61,G61)</f>
        <v/>
      </c>
      <c r="P61" s="36">
        <f>IF(K61&lt;&gt;"",K61,IF(I61="high",IF(F61="",G61,F61),IF(I61="low",IF(H61="",G61,H61),G61)))</f>
        <v/>
      </c>
      <c r="Q61" s="36">
        <f>IF(M61&lt;&gt;"",M61,J61)</f>
        <v/>
      </c>
      <c r="R61" s="37" t="inlineStr">
        <is>
          <t>ONS regional GVA (balanced) by industry, current prices; BRES 2024</t>
        </is>
      </c>
      <c r="S61" s="37" t="inlineStr">
        <is>
          <t>Published 23 September 2026 (2024 data)</t>
        </is>
      </c>
      <c r="T61" s="37" t="inlineStr">
        <is>
          <t>Table 3 (local authorities) and Table 1c (ITL1); NOMIS NM_189_1</t>
        </is>
      </c>
      <c r="U61" s="37" t="inlineStr"/>
      <c r="V61" s="37" t="inlineStr">
        <is>
          <t>Gateshead indicator only (decision 1). GVA includes self-employed income while BRES counts employees and working owners, so per-FTE figures run high where self-employment is common (arts, personal services). 2024 values uprated to 2026. Our calculation</t>
        </is>
      </c>
      <c r="W61" s="38" t="inlineStr">
        <is>
          <t>Open source</t>
        </is>
      </c>
    </row>
    <row r="62">
      <c r="A62" s="34" t="inlineStr">
        <is>
          <t>J28</t>
        </is>
      </c>
      <c r="B62" s="34" t="inlineStr">
        <is>
          <t>Jobs</t>
        </is>
      </c>
      <c r="C62" s="35" t="inlineStr">
        <is>
          <t>GVA per FTE, R (90-93)</t>
        </is>
      </c>
      <c r="D62" s="35" t="inlineStr">
        <is>
          <t>Creative studios and makers</t>
        </is>
      </c>
      <c r="E62" s="34" t="inlineStr">
        <is>
          <t>£ per FTE a year</t>
        </is>
      </c>
      <c r="F62" s="34" t="n">
        <v>59459.8589</v>
      </c>
      <c r="G62" s="34" t="n">
        <v>71285.8018</v>
      </c>
      <c r="H62" s="34" t="n">
        <v>71285.8018</v>
      </c>
      <c r="I62" s="34" t="inlineStr">
        <is>
          <t>low</t>
        </is>
      </c>
      <c r="J62" s="34" t="n">
        <v>3</v>
      </c>
      <c r="K62" s="9" t="n"/>
      <c r="L62" s="9" t="n"/>
      <c r="M62" s="9" t="n"/>
      <c r="N62" s="36">
        <f>IF(K62&lt;&gt;"",K62,IF(I62="high",IF(H62="",G62,H62),IF(I62="low",IF(F62="",G62,F62),G62)))</f>
        <v/>
      </c>
      <c r="O62" s="36">
        <f>IF(K62&lt;&gt;"",K62,G62)</f>
        <v/>
      </c>
      <c r="P62" s="36">
        <f>IF(K62&lt;&gt;"",K62,IF(I62="high",IF(F62="",G62,F62),IF(I62="low",IF(H62="",G62,H62),G62)))</f>
        <v/>
      </c>
      <c r="Q62" s="36">
        <f>IF(M62&lt;&gt;"",M62,J62)</f>
        <v/>
      </c>
      <c r="R62" s="37" t="inlineStr">
        <is>
          <t>ONS regional GVA (balanced) by industry, current prices; BRES 2024</t>
        </is>
      </c>
      <c r="S62" s="37" t="inlineStr">
        <is>
          <t>Published 23 September 2026 (2024 data)</t>
        </is>
      </c>
      <c r="T62" s="37" t="inlineStr">
        <is>
          <t>Table 3 (local authorities) and Table 1c (ITL1); NOMIS NM_189_1</t>
        </is>
      </c>
      <c r="U62" s="37" t="inlineStr"/>
      <c r="V62" s="37" t="inlineStr">
        <is>
          <t>Gateshead indicator only (decision 1). GVA includes self-employed income while BRES counts employees and working owners, so per-FTE figures run high where self-employment is common (arts, personal services). 2024 values uprated to 2026. Our calculation</t>
        </is>
      </c>
      <c r="W62" s="38" t="inlineStr">
        <is>
          <t>Open source</t>
        </is>
      </c>
    </row>
    <row r="63">
      <c r="A63" s="34" t="inlineStr">
        <is>
          <t>J29</t>
        </is>
      </c>
      <c r="B63" s="34" t="inlineStr">
        <is>
          <t>Jobs</t>
        </is>
      </c>
      <c r="C63" s="35" t="inlineStr">
        <is>
          <t>GVA per FTE, M (69-75)</t>
        </is>
      </c>
      <c r="D63" s="35" t="inlineStr">
        <is>
          <t>Workspace and co-working</t>
        </is>
      </c>
      <c r="E63" s="34" t="inlineStr">
        <is>
          <t>£ per FTE a year</t>
        </is>
      </c>
      <c r="F63" s="34" t="n">
        <v>45264.7065</v>
      </c>
      <c r="G63" s="34" t="n">
        <v>45264.7065</v>
      </c>
      <c r="H63" s="34" t="n">
        <v>88617.32640000001</v>
      </c>
      <c r="I63" s="34" t="inlineStr">
        <is>
          <t>low</t>
        </is>
      </c>
      <c r="J63" s="34" t="n">
        <v>3</v>
      </c>
      <c r="K63" s="9" t="n"/>
      <c r="L63" s="9" t="n"/>
      <c r="M63" s="9" t="n"/>
      <c r="N63" s="36">
        <f>IF(K63&lt;&gt;"",K63,IF(I63="high",IF(H63="",G63,H63),IF(I63="low",IF(F63="",G63,F63),G63)))</f>
        <v/>
      </c>
      <c r="O63" s="36">
        <f>IF(K63&lt;&gt;"",K63,G63)</f>
        <v/>
      </c>
      <c r="P63" s="36">
        <f>IF(K63&lt;&gt;"",K63,IF(I63="high",IF(F63="",G63,F63),IF(I63="low",IF(H63="",G63,H63),G63)))</f>
        <v/>
      </c>
      <c r="Q63" s="36">
        <f>IF(M63&lt;&gt;"",M63,J63)</f>
        <v/>
      </c>
      <c r="R63" s="37" t="inlineStr">
        <is>
          <t>ONS regional GVA (balanced) by industry, current prices; BRES 2024</t>
        </is>
      </c>
      <c r="S63" s="37" t="inlineStr">
        <is>
          <t>Published 23 September 2026 (2024 data)</t>
        </is>
      </c>
      <c r="T63" s="37" t="inlineStr">
        <is>
          <t>Table 3 (local authorities) and Table 1c (ITL1); NOMIS NM_189_1</t>
        </is>
      </c>
      <c r="U63" s="37" t="inlineStr"/>
      <c r="V63" s="37" t="inlineStr">
        <is>
          <t>Gateshead indicator only (decision 1). GVA includes self-employed income while BRES counts employees and working owners, so per-FTE figures run high where self-employment is common (arts, personal services). 2024 values uprated to 2026. Our calculation</t>
        </is>
      </c>
      <c r="W63" s="38" t="inlineStr">
        <is>
          <t>Open source</t>
        </is>
      </c>
    </row>
    <row r="64">
      <c r="A64" s="34" t="inlineStr">
        <is>
          <t>J30</t>
        </is>
      </c>
      <c r="B64" s="34" t="inlineStr">
        <is>
          <t>Jobs</t>
        </is>
      </c>
      <c r="C64" s="35" t="inlineStr">
        <is>
          <t>GVA per FTE, S (94-96)</t>
        </is>
      </c>
      <c r="D64" s="35" t="inlineStr">
        <is>
          <t>Community hub</t>
        </is>
      </c>
      <c r="E64" s="34" t="inlineStr">
        <is>
          <t>£ per FTE a year</t>
        </is>
      </c>
      <c r="F64" s="34" t="n">
        <v>42487.049</v>
      </c>
      <c r="G64" s="34" t="n">
        <v>42487.049</v>
      </c>
      <c r="H64" s="34" t="n">
        <v>81236.6936</v>
      </c>
      <c r="I64" s="34" t="inlineStr">
        <is>
          <t>low</t>
        </is>
      </c>
      <c r="J64" s="34" t="n">
        <v>3</v>
      </c>
      <c r="K64" s="9" t="n"/>
      <c r="L64" s="9" t="n"/>
      <c r="M64" s="9" t="n"/>
      <c r="N64" s="36">
        <f>IF(K64&lt;&gt;"",K64,IF(I64="high",IF(H64="",G64,H64),IF(I64="low",IF(F64="",G64,F64),G64)))</f>
        <v/>
      </c>
      <c r="O64" s="36">
        <f>IF(K64&lt;&gt;"",K64,G64)</f>
        <v/>
      </c>
      <c r="P64" s="36">
        <f>IF(K64&lt;&gt;"",K64,IF(I64="high",IF(F64="",G64,F64),IF(I64="low",IF(H64="",G64,H64),G64)))</f>
        <v/>
      </c>
      <c r="Q64" s="36">
        <f>IF(M64&lt;&gt;"",M64,J64)</f>
        <v/>
      </c>
      <c r="R64" s="37" t="inlineStr">
        <is>
          <t>ONS regional GVA (balanced) by industry, current prices; BRES 2024</t>
        </is>
      </c>
      <c r="S64" s="37" t="inlineStr">
        <is>
          <t>Published 23 September 2026 (2024 data)</t>
        </is>
      </c>
      <c r="T64" s="37" t="inlineStr">
        <is>
          <t>Table 3 (local authorities) and Table 1c (ITL1); NOMIS NM_189_1</t>
        </is>
      </c>
      <c r="U64" s="37" t="inlineStr"/>
      <c r="V64" s="37" t="inlineStr">
        <is>
          <t>Gateshead indicator only (decision 1). GVA includes self-employed income while BRES counts employees and working owners, so per-FTE figures run high where self-employment is common (arts, personal services). 2024 values uprated to 2026. Our calculation</t>
        </is>
      </c>
      <c r="W64" s="38" t="inlineStr">
        <is>
          <t>Open source</t>
        </is>
      </c>
    </row>
    <row r="65">
      <c r="A65" s="34" t="inlineStr">
        <is>
          <t>J31</t>
        </is>
      </c>
      <c r="B65" s="34" t="inlineStr">
        <is>
          <t>Jobs</t>
        </is>
      </c>
      <c r="C65" s="35" t="inlineStr">
        <is>
          <t>GVA per FTE, P (85)</t>
        </is>
      </c>
      <c r="D65" s="35" t="inlineStr">
        <is>
          <t>Training and skills</t>
        </is>
      </c>
      <c r="E65" s="34" t="inlineStr">
        <is>
          <t>£ per FTE a year</t>
        </is>
      </c>
      <c r="F65" s="34" t="n">
        <v>63104.1455</v>
      </c>
      <c r="G65" s="34" t="n">
        <v>63104.1455</v>
      </c>
      <c r="H65" s="34" t="n">
        <v>73594.69650000001</v>
      </c>
      <c r="I65" s="34" t="inlineStr">
        <is>
          <t>low</t>
        </is>
      </c>
      <c r="J65" s="34" t="n">
        <v>3</v>
      </c>
      <c r="K65" s="9" t="n"/>
      <c r="L65" s="9" t="n"/>
      <c r="M65" s="9" t="n"/>
      <c r="N65" s="36">
        <f>IF(K65&lt;&gt;"",K65,IF(I65="high",IF(H65="",G65,H65),IF(I65="low",IF(F65="",G65,F65),G65)))</f>
        <v/>
      </c>
      <c r="O65" s="36">
        <f>IF(K65&lt;&gt;"",K65,G65)</f>
        <v/>
      </c>
      <c r="P65" s="36">
        <f>IF(K65&lt;&gt;"",K65,IF(I65="high",IF(F65="",G65,F65),IF(I65="low",IF(H65="",G65,H65),G65)))</f>
        <v/>
      </c>
      <c r="Q65" s="36">
        <f>IF(M65&lt;&gt;"",M65,J65)</f>
        <v/>
      </c>
      <c r="R65" s="37" t="inlineStr">
        <is>
          <t>ONS regional GVA (balanced) by industry, current prices; BRES 2024</t>
        </is>
      </c>
      <c r="S65" s="37" t="inlineStr">
        <is>
          <t>Published 23 September 2026 (2024 data)</t>
        </is>
      </c>
      <c r="T65" s="37" t="inlineStr">
        <is>
          <t>Table 3 (local authorities) and Table 1c (ITL1); NOMIS NM_189_1</t>
        </is>
      </c>
      <c r="U65" s="37" t="inlineStr"/>
      <c r="V65" s="37" t="inlineStr">
        <is>
          <t>Gateshead indicator only (decision 1). GVA includes self-employed income while BRES counts employees and working owners, so per-FTE figures run high where self-employment is common (arts, personal services). 2024 values uprated to 2026. Our calculation</t>
        </is>
      </c>
      <c r="W65" s="38" t="inlineStr">
        <is>
          <t>Open source</t>
        </is>
      </c>
    </row>
    <row r="66">
      <c r="A66" s="34" t="inlineStr">
        <is>
          <t>J32</t>
        </is>
      </c>
      <c r="B66" s="34" t="inlineStr">
        <is>
          <t>Jobs</t>
        </is>
      </c>
      <c r="C66" s="35" t="inlineStr">
        <is>
          <t>GVA per FTE, R (90-93)</t>
        </is>
      </c>
      <c r="D66" s="35" t="inlineStr">
        <is>
          <t>Arts, culture and events</t>
        </is>
      </c>
      <c r="E66" s="34" t="inlineStr">
        <is>
          <t>£ per FTE a year</t>
        </is>
      </c>
      <c r="F66" s="34" t="n">
        <v>59459.8589</v>
      </c>
      <c r="G66" s="34" t="n">
        <v>71285.8018</v>
      </c>
      <c r="H66" s="34" t="n">
        <v>71285.8018</v>
      </c>
      <c r="I66" s="34" t="inlineStr">
        <is>
          <t>low</t>
        </is>
      </c>
      <c r="J66" s="34" t="n">
        <v>3</v>
      </c>
      <c r="K66" s="9" t="n"/>
      <c r="L66" s="9" t="n"/>
      <c r="M66" s="9" t="n"/>
      <c r="N66" s="36">
        <f>IF(K66&lt;&gt;"",K66,IF(I66="high",IF(H66="",G66,H66),IF(I66="low",IF(F66="",G66,F66),G66)))</f>
        <v/>
      </c>
      <c r="O66" s="36">
        <f>IF(K66&lt;&gt;"",K66,G66)</f>
        <v/>
      </c>
      <c r="P66" s="36">
        <f>IF(K66&lt;&gt;"",K66,IF(I66="high",IF(F66="",G66,F66),IF(I66="low",IF(H66="",G66,H66),G66)))</f>
        <v/>
      </c>
      <c r="Q66" s="36">
        <f>IF(M66&lt;&gt;"",M66,J66)</f>
        <v/>
      </c>
      <c r="R66" s="37" t="inlineStr">
        <is>
          <t>ONS regional GVA (balanced) by industry, current prices; BRES 2024</t>
        </is>
      </c>
      <c r="S66" s="37" t="inlineStr">
        <is>
          <t>Published 23 September 2026 (2024 data)</t>
        </is>
      </c>
      <c r="T66" s="37" t="inlineStr">
        <is>
          <t>Table 3 (local authorities) and Table 1c (ITL1); NOMIS NM_189_1</t>
        </is>
      </c>
      <c r="U66" s="37" t="inlineStr"/>
      <c r="V66" s="37" t="inlineStr">
        <is>
          <t>Gateshead indicator only (decision 1). GVA includes self-employed income while BRES counts employees and working owners, so per-FTE figures run high where self-employment is common (arts, personal services). 2024 values uprated to 2026. Our calculation</t>
        </is>
      </c>
      <c r="W66" s="38" t="inlineStr">
        <is>
          <t>Open source</t>
        </is>
      </c>
    </row>
    <row r="67">
      <c r="A67" s="34" t="inlineStr">
        <is>
          <t>J33</t>
        </is>
      </c>
      <c r="B67" s="34" t="inlineStr">
        <is>
          <t>Jobs</t>
        </is>
      </c>
      <c r="C67" s="35" t="inlineStr">
        <is>
          <t>GVA per FTE, R (90-93)</t>
        </is>
      </c>
      <c r="D67" s="35" t="inlineStr">
        <is>
          <t>Health and wellbeing</t>
        </is>
      </c>
      <c r="E67" s="34" t="inlineStr">
        <is>
          <t>£ per FTE a year</t>
        </is>
      </c>
      <c r="F67" s="34" t="n">
        <v>59459.8589</v>
      </c>
      <c r="G67" s="34" t="n">
        <v>71285.8018</v>
      </c>
      <c r="H67" s="34" t="n">
        <v>71285.8018</v>
      </c>
      <c r="I67" s="34" t="inlineStr">
        <is>
          <t>low</t>
        </is>
      </c>
      <c r="J67" s="34" t="n">
        <v>3</v>
      </c>
      <c r="K67" s="9" t="n"/>
      <c r="L67" s="9" t="n"/>
      <c r="M67" s="9" t="n"/>
      <c r="N67" s="36">
        <f>IF(K67&lt;&gt;"",K67,IF(I67="high",IF(H67="",G67,H67),IF(I67="low",IF(F67="",G67,F67),G67)))</f>
        <v/>
      </c>
      <c r="O67" s="36">
        <f>IF(K67&lt;&gt;"",K67,G67)</f>
        <v/>
      </c>
      <c r="P67" s="36">
        <f>IF(K67&lt;&gt;"",K67,IF(I67="high",IF(F67="",G67,F67),IF(I67="low",IF(H67="",G67,H67),G67)))</f>
        <v/>
      </c>
      <c r="Q67" s="36">
        <f>IF(M67&lt;&gt;"",M67,J67)</f>
        <v/>
      </c>
      <c r="R67" s="37" t="inlineStr">
        <is>
          <t>ONS regional GVA (balanced) by industry, current prices; BRES 2024</t>
        </is>
      </c>
      <c r="S67" s="37" t="inlineStr">
        <is>
          <t>Published 23 September 2026 (2024 data)</t>
        </is>
      </c>
      <c r="T67" s="37" t="inlineStr">
        <is>
          <t>Table 3 (local authorities) and Table 1c (ITL1); NOMIS NM_189_1</t>
        </is>
      </c>
      <c r="U67" s="37" t="inlineStr"/>
      <c r="V67" s="37" t="inlineStr">
        <is>
          <t>Gateshead indicator only (decision 1). GVA includes self-employed income while BRES counts employees and working owners, so per-FTE figures run high where self-employment is common (arts, personal services). 2024 values uprated to 2026. Our calculation</t>
        </is>
      </c>
      <c r="W67" s="38" t="inlineStr">
        <is>
          <t>Open source</t>
        </is>
      </c>
    </row>
    <row r="68">
      <c r="A68" s="34" t="inlineStr">
        <is>
          <t>J34</t>
        </is>
      </c>
      <c r="B68" s="34" t="inlineStr">
        <is>
          <t>Jobs</t>
        </is>
      </c>
      <c r="C68" s="35" t="inlineStr">
        <is>
          <t>Displacement of jobs at NEMSA level</t>
        </is>
      </c>
      <c r="D68" s="35" t="inlineStr">
        <is>
          <t>All uses except community hub and training</t>
        </is>
      </c>
      <c r="E68" s="34" t="inlineStr">
        <is>
          <t>%</t>
        </is>
      </c>
      <c r="F68" s="34" t="n">
        <v>50</v>
      </c>
      <c r="G68" s="34" t="n">
        <v>71</v>
      </c>
      <c r="H68" s="34" t="n">
        <v>89</v>
      </c>
      <c r="I68" s="34" t="inlineStr">
        <is>
          <t>high</t>
        </is>
      </c>
      <c r="J68" s="34" t="n">
        <v>6</v>
      </c>
      <c r="K68" s="9" t="n"/>
      <c r="L68" s="9" t="n"/>
      <c r="M68" s="9" t="n"/>
      <c r="N68" s="36">
        <f>IF(K68&lt;&gt;"",K68,IF(I68="high",IF(H68="",G68,H68),IF(I68="low",IF(F68="",G68,F68),G68)))</f>
        <v/>
      </c>
      <c r="O68" s="36">
        <f>IF(K68&lt;&gt;"",K68,G68)</f>
        <v/>
      </c>
      <c r="P68" s="36">
        <f>IF(K68&lt;&gt;"",K68,IF(I68="high",IF(F68="",G68,F68),IF(I68="low",IF(H68="",G68,H68),G68)))</f>
        <v/>
      </c>
      <c r="Q68" s="36">
        <f>IF(M68&lt;&gt;"",M68,J68)</f>
        <v/>
      </c>
      <c r="R68" s="37" t="inlineStr">
        <is>
          <t>HCA Additionality Guide, 4th edition</t>
        </is>
      </c>
      <c r="S68" s="37" t="inlineStr">
        <is>
          <t>2014</t>
        </is>
      </c>
      <c r="T68" s="37" t="inlineStr">
        <is>
          <t>Table 4.5 (City Challenge final evaluation)</t>
        </is>
      </c>
      <c r="U68" s="37" t="inlineStr">
        <is>
          <t>Development: 71% at county level, 89% at region level (paraphrase of Table 4.5)</t>
        </is>
      </c>
      <c r="V68" s="37" t="inlineStr">
        <is>
          <t>NEMSA column only, indicator. Central = county level, the closest match to the seven NEMSA authorities; high = region level; low = ready reckoner medium (Table 4.8)</t>
        </is>
      </c>
      <c r="W68" s="38" t="inlineStr">
        <is>
          <t>Open source</t>
        </is>
      </c>
    </row>
    <row r="69">
      <c r="A69" s="34" t="inlineStr">
        <is>
          <t>J35</t>
        </is>
      </c>
      <c r="B69" s="34" t="inlineStr">
        <is>
          <t>Jobs</t>
        </is>
      </c>
      <c r="C69" s="35" t="inlineStr">
        <is>
          <t>Displacement of jobs at NEMSA level</t>
        </is>
      </c>
      <c r="D69" s="35" t="inlineStr">
        <is>
          <t>Community hub and training</t>
        </is>
      </c>
      <c r="E69" s="34" t="inlineStr">
        <is>
          <t>%</t>
        </is>
      </c>
      <c r="F69" s="34" t="n">
        <v>50</v>
      </c>
      <c r="G69" s="34" t="n">
        <v>77</v>
      </c>
      <c r="H69" s="34" t="n">
        <v>78</v>
      </c>
      <c r="I69" s="34" t="inlineStr">
        <is>
          <t>high</t>
        </is>
      </c>
      <c r="J69" s="34" t="n">
        <v>6</v>
      </c>
      <c r="K69" s="9" t="n"/>
      <c r="L69" s="9" t="n"/>
      <c r="M69" s="9" t="n"/>
      <c r="N69" s="36">
        <f>IF(K69&lt;&gt;"",K69,IF(I69="high",IF(H69="",G69,H69),IF(I69="low",IF(F69="",G69,F69),G69)))</f>
        <v/>
      </c>
      <c r="O69" s="36">
        <f>IF(K69&lt;&gt;"",K69,G69)</f>
        <v/>
      </c>
      <c r="P69" s="36">
        <f>IF(K69&lt;&gt;"",K69,IF(I69="high",IF(F69="",G69,F69),IF(I69="low",IF(H69="",G69,H69),G69)))</f>
        <v/>
      </c>
      <c r="Q69" s="36">
        <f>IF(M69&lt;&gt;"",M69,J69)</f>
        <v/>
      </c>
      <c r="R69" s="37" t="inlineStr">
        <is>
          <t>HCA Additionality Guide, 4th edition</t>
        </is>
      </c>
      <c r="S69" s="37" t="inlineStr">
        <is>
          <t>2014</t>
        </is>
      </c>
      <c r="T69" s="37" t="inlineStr">
        <is>
          <t>Table 4.5 (City Challenge final evaluation)</t>
        </is>
      </c>
      <c r="U69" s="37" t="inlineStr">
        <is>
          <t>Training and education: 77% at county level, 78% at region level (paraphrase of Table 4.5)</t>
        </is>
      </c>
      <c r="V69" s="37" t="inlineStr">
        <is>
          <t>NEMSA column only, indicator. Low = ready reckoner medium (Table 4.8)</t>
        </is>
      </c>
      <c r="W69" s="38" t="inlineStr">
        <is>
          <t>Open source</t>
        </is>
      </c>
    </row>
    <row r="70">
      <c r="A70" s="34" t="inlineStr">
        <is>
          <t>J36</t>
        </is>
      </c>
      <c r="B70" s="34" t="inlineStr">
        <is>
          <t>Jobs</t>
        </is>
      </c>
      <c r="C70" s="35" t="inlineStr">
        <is>
          <t>Local multiplier (NEMSA level)</t>
        </is>
      </c>
      <c r="D70" s="35" t="inlineStr">
        <is>
          <t>All uses, NEMSA column</t>
        </is>
      </c>
      <c r="E70" s="34" t="inlineStr">
        <is>
          <t>multiplier</t>
        </is>
      </c>
      <c r="F70" s="34" t="n">
        <v>1.3</v>
      </c>
      <c r="G70" s="34" t="n">
        <v>1.5</v>
      </c>
      <c r="H70" s="34" t="n">
        <v>1.7</v>
      </c>
      <c r="I70" s="34" t="inlineStr">
        <is>
          <t>low</t>
        </is>
      </c>
      <c r="J70" s="34" t="n">
        <v>6</v>
      </c>
      <c r="K70" s="9" t="n"/>
      <c r="L70" s="9" t="n"/>
      <c r="M70" s="9" t="n"/>
      <c r="N70" s="36">
        <f>IF(K70&lt;&gt;"",K70,IF(I70="high",IF(H70="",G70,H70),IF(I70="low",IF(F70="",G70,F70),G70)))</f>
        <v/>
      </c>
      <c r="O70" s="36">
        <f>IF(K70&lt;&gt;"",K70,G70)</f>
        <v/>
      </c>
      <c r="P70" s="36">
        <f>IF(K70&lt;&gt;"",K70,IF(I70="high",IF(F70="",G70,F70),IF(I70="low",IF(H70="",G70,H70),G70)))</f>
        <v/>
      </c>
      <c r="Q70" s="36">
        <f>IF(M70&lt;&gt;"",M70,J70)</f>
        <v/>
      </c>
      <c r="R70" s="37" t="inlineStr">
        <is>
          <t>HCA Additionality Guide, 4th edition</t>
        </is>
      </c>
      <c r="S70" s="37" t="inlineStr">
        <is>
          <t>2014</t>
        </is>
      </c>
      <c r="T70" s="37" t="inlineStr">
        <is>
          <t>Table 4.14 (regional level)</t>
        </is>
      </c>
      <c r="U70" s="37" t="inlineStr">
        <is>
          <t>Composite multiplier (Regional level) 1.3 1.5 1.7 (table cells)</t>
        </is>
      </c>
      <c r="V70" s="37" t="inlineStr">
        <is>
          <t>NEMSA column only, indicator</t>
        </is>
      </c>
      <c r="W70" s="38" t="inlineStr">
        <is>
          <t>Open source</t>
        </is>
      </c>
    </row>
    <row r="71">
      <c r="A71" s="34" t="inlineStr">
        <is>
          <t>X1</t>
        </is>
      </c>
      <c r="B71" s="34" t="inlineStr">
        <is>
          <t>Visitors</t>
        </is>
      </c>
      <c r="C71" s="35" t="inlineStr">
        <is>
          <t>Spend per visit</t>
        </is>
      </c>
      <c r="D71" s="35" t="inlineStr">
        <is>
          <t>Visitor stream, Gateshead indicator only</t>
        </is>
      </c>
      <c r="E71" s="34" t="inlineStr">
        <is>
          <t>£ per visit</t>
        </is>
      </c>
      <c r="F71" s="34" t="n">
        <v>16.3276</v>
      </c>
      <c r="G71" s="34" t="n">
        <v>24.7247</v>
      </c>
      <c r="H71" s="34" t="n">
        <v>27.8551</v>
      </c>
      <c r="I71" s="34" t="inlineStr">
        <is>
          <t>low</t>
        </is>
      </c>
      <c r="J71" s="34" t="n">
        <v>6</v>
      </c>
      <c r="K71" s="9" t="n"/>
      <c r="L71" s="9" t="n"/>
      <c r="M71" s="9" t="n"/>
      <c r="N71" s="36">
        <f>IF(K71&lt;&gt;"",K71,IF(I71="high",IF(H71="",G71,H71),IF(I71="low",IF(F71="",G71,F71),G71)))</f>
        <v/>
      </c>
      <c r="O71" s="36">
        <f>IF(K71&lt;&gt;"",K71,G71)</f>
        <v/>
      </c>
      <c r="P71" s="36">
        <f>IF(K71&lt;&gt;"",K71,IF(I71="high",IF(F71="",G71,F71),IF(I71="low",IF(H71="",G71,H71),G71)))</f>
        <v/>
      </c>
      <c r="Q71" s="36">
        <f>IF(M71&lt;&gt;"",M71,J71)</f>
        <v/>
      </c>
      <c r="R71" s="37" t="inlineStr">
        <is>
          <t>MHCLG Towns Fund evaluation, Value for Money Annex</t>
        </is>
      </c>
      <c r="S71" s="37" t="inlineStr">
        <is>
          <t>17 July 2026</t>
        </is>
      </c>
      <c r="T71" s="37" t="inlineStr">
        <is>
          <t>Table A.2 and the paragraphs that follow it</t>
        </is>
      </c>
      <c r="U71" s="37" t="inlineStr">
        <is>
          <t>when allowing the benefits to persist for 7 years, the spending per visit hour needs to be only £17.5 ... the average spend per visit to a high street in 2025 prices is £27.26</t>
        </is>
      </c>
      <c r="V71" s="37" t="inlineStr">
        <is>
          <t>All three from the annex, on high street visits (Phase 1b decision 2). Low = £17.5 per visit hour (MHCLG's 7-year break-even test) x 53.1 minutes' baseline dwell. Central = £26.5 per visit hour (MHCLG's working assumption; 'No value for average spend per visit hour is available – number assumed') x 53.1 minutes. High = £27.26 per visit (Southwark-based, 2025 prices), which MHCLG uses to corroborate the assumption. Hour-based values in 2024/25 prices. Tourism day visits were considered and left out as a different trip type and source (Tyne and Wear £58.69 a trip, 2023 to 2025). STEAM Gateshead goes on the Static Data tab as a local override</t>
        </is>
      </c>
      <c r="W71" s="38" t="inlineStr">
        <is>
          <t>Open source</t>
        </is>
      </c>
    </row>
    <row r="72">
      <c r="A72" s="34" t="inlineStr">
        <is>
          <t>X2</t>
        </is>
      </c>
      <c r="B72" s="34" t="inlineStr">
        <is>
          <t>Visitors</t>
        </is>
      </c>
      <c r="C72" s="35" t="inlineStr">
        <is>
          <t>GVA share of spend, shops</t>
        </is>
      </c>
      <c r="D72" s="35" t="inlineStr">
        <is>
          <t>Visitor stream, Gateshead indicator only</t>
        </is>
      </c>
      <c r="E72" s="34" t="inlineStr">
        <is>
          <t>% of turnover</t>
        </is>
      </c>
      <c r="F72" s="34" t="n">
        <v>0.2076</v>
      </c>
      <c r="G72" s="34" t="n">
        <v>0.2076</v>
      </c>
      <c r="H72" s="34" t="n">
        <v>0.2905</v>
      </c>
      <c r="I72" s="34" t="inlineStr">
        <is>
          <t>low</t>
        </is>
      </c>
      <c r="J72" s="34" t="n">
        <v>4</v>
      </c>
      <c r="K72" s="9" t="n"/>
      <c r="L72" s="9" t="n"/>
      <c r="M72" s="9" t="n"/>
      <c r="N72" s="36">
        <f>IF(K72&lt;&gt;"",K72,IF(I72="high",IF(H72="",G72,H72),IF(I72="low",IF(F72="",G72,F72),G72)))</f>
        <v/>
      </c>
      <c r="O72" s="36">
        <f>IF(K72&lt;&gt;"",K72,G72)</f>
        <v/>
      </c>
      <c r="P72" s="36">
        <f>IF(K72&lt;&gt;"",K72,IF(I72="high",IF(F72="",G72,F72),IF(I72="low",IF(H72="",G72,H72),G72)))</f>
        <v/>
      </c>
      <c r="Q72" s="36">
        <f>IF(M72&lt;&gt;"",M72,J72)</f>
        <v/>
      </c>
      <c r="R72" s="37" t="inlineStr">
        <is>
          <t>ONS Annual Business Survey, Sections A to S, 2024 results</t>
        </is>
      </c>
      <c r="S72" s="37" t="inlineStr">
        <is>
          <t>26 May 2026</t>
        </is>
      </c>
      <c r="T72" s="37" t="inlineStr">
        <is>
          <t>Division 47 and group 47.7, approximate GVA at basic prices / total turnover</t>
        </is>
      </c>
      <c r="U72" s="37" t="inlineStr"/>
      <c r="V72" s="37" t="inlineStr">
        <is>
          <t>Applied to extra visitors' spend in the centre's shops: the share follows where the spend lands, not the unit's own use, because spend in the unit is already in its GVA (row D1). MHCLG used the same ratio for 2022 (23%). High = specialised stores (47.7). Our calculation</t>
        </is>
      </c>
      <c r="W72" s="38" t="inlineStr">
        <is>
          <t>Open source</t>
        </is>
      </c>
    </row>
    <row r="73">
      <c r="A73" s="34" t="inlineStr">
        <is>
          <t>X3</t>
        </is>
      </c>
      <c r="B73" s="34" t="inlineStr">
        <is>
          <t>Visitors</t>
        </is>
      </c>
      <c r="C73" s="35" t="inlineStr">
        <is>
          <t>GVA share of spend, cafes, restaurants and bars</t>
        </is>
      </c>
      <c r="D73" s="35" t="inlineStr">
        <is>
          <t>Visitor stream, Gateshead indicator only</t>
        </is>
      </c>
      <c r="E73" s="34" t="inlineStr">
        <is>
          <t>% of turnover</t>
        </is>
      </c>
      <c r="F73" s="34" t="n">
        <v>0.4616</v>
      </c>
      <c r="G73" s="34" t="n">
        <v>0.4754</v>
      </c>
      <c r="H73" s="34" t="n">
        <v>0.5075</v>
      </c>
      <c r="I73" s="34" t="inlineStr">
        <is>
          <t>low</t>
        </is>
      </c>
      <c r="J73" s="34" t="n">
        <v>4</v>
      </c>
      <c r="K73" s="9" t="n"/>
      <c r="L73" s="9" t="n"/>
      <c r="M73" s="9" t="n"/>
      <c r="N73" s="36">
        <f>IF(K73&lt;&gt;"",K73,IF(I73="high",IF(H73="",G73,H73),IF(I73="low",IF(F73="",G73,F73),G73)))</f>
        <v/>
      </c>
      <c r="O73" s="36">
        <f>IF(K73&lt;&gt;"",K73,G73)</f>
        <v/>
      </c>
      <c r="P73" s="36">
        <f>IF(K73&lt;&gt;"",K73,IF(I73="high",IF(F73="",G73,F73),IF(I73="low",IF(H73="",G73,H73),G73)))</f>
        <v/>
      </c>
      <c r="Q73" s="36">
        <f>IF(M73&lt;&gt;"",M73,J73)</f>
        <v/>
      </c>
      <c r="R73" s="37" t="inlineStr">
        <is>
          <t>ONS Annual Business Survey, Sections A to S, 2024 results</t>
        </is>
      </c>
      <c r="S73" s="37" t="inlineStr">
        <is>
          <t>26 May 2026</t>
        </is>
      </c>
      <c r="T73" s="37" t="inlineStr">
        <is>
          <t>Section I, division 56, group 56.3</t>
        </is>
      </c>
      <c r="U73" s="37" t="inlineStr"/>
      <c r="V73" s="37" t="inlineStr">
        <is>
          <t>Applied to the share of extra visitors' spend going on food and drink (officer input, default 0% as in MHCLG's method). MHCLG used 52% for accommodation and food (2022). Our calculation</t>
        </is>
      </c>
      <c r="W73" s="38" t="inlineStr">
        <is>
          <t>Open source</t>
        </is>
      </c>
    </row>
    <row r="74">
      <c r="A74" s="34" t="inlineStr">
        <is>
          <t>X4</t>
        </is>
      </c>
      <c r="B74" s="34" t="inlineStr">
        <is>
          <t>Visitors</t>
        </is>
      </c>
      <c r="C74" s="35" t="inlineStr">
        <is>
          <t>Share of visits that are new trips to the centre</t>
        </is>
      </c>
      <c r="D74" s="35" t="inlineStr">
        <is>
          <t>Visitor stream, Gateshead indicator only</t>
        </is>
      </c>
      <c r="E74" s="34" t="inlineStr">
        <is>
          <t>%</t>
        </is>
      </c>
      <c r="F74" s="34" t="n">
        <v>10</v>
      </c>
      <c r="G74" s="34" t="n">
        <v>25</v>
      </c>
      <c r="H74" s="34" t="n">
        <v>50</v>
      </c>
      <c r="I74" s="34" t="inlineStr">
        <is>
          <t>low</t>
        </is>
      </c>
      <c r="J74" s="34" t="n">
        <v>6</v>
      </c>
      <c r="K74" s="9" t="n"/>
      <c r="L74" s="9" t="n"/>
      <c r="M74" s="9" t="n"/>
      <c r="N74" s="36">
        <f>IF(K74&lt;&gt;"",K74,IF(I74="high",IF(H74="",G74,H74),IF(I74="low",IF(F74="",G74,F74),G74)))</f>
        <v/>
      </c>
      <c r="O74" s="36">
        <f>IF(K74&lt;&gt;"",K74,G74)</f>
        <v/>
      </c>
      <c r="P74" s="36">
        <f>IF(K74&lt;&gt;"",K74,IF(I74="high",IF(F74="",G74,F74),IF(I74="low",IF(H74="",G74,H74),G74)))</f>
        <v/>
      </c>
      <c r="Q74" s="36">
        <f>IF(M74&lt;&gt;"",M74,J74)</f>
        <v/>
      </c>
      <c r="R74" s="37" t="inlineStr">
        <is>
          <t>HCA Additionality Guide deadweight ready reckoner</t>
        </is>
      </c>
      <c r="S74" s="37" t="inlineStr">
        <is>
          <t>2014</t>
        </is>
      </c>
      <c r="T74" s="37" t="inlineStr">
        <is>
          <t>3.3 (none 0, low 25, medium 50, high 75)</t>
        </is>
      </c>
      <c r="U74" s="37" t="inlineStr"/>
      <c r="V74" s="37" t="inlineStr">
        <is>
          <t>Judgement anchored on the ready reckoner; no evidence for single units. Open Doors found 'only limited evidence of increasing footfall'</t>
        </is>
      </c>
      <c r="W74" s="38" t="inlineStr">
        <is>
          <t>Open source</t>
        </is>
      </c>
    </row>
    <row r="75">
      <c r="A75" s="34" t="inlineStr">
        <is>
          <t>X5</t>
        </is>
      </c>
      <c r="B75" s="34" t="inlineStr">
        <is>
          <t>Visitors</t>
        </is>
      </c>
      <c r="C75" s="35" t="inlineStr">
        <is>
          <t>Displacement of visitor spend within Gateshead</t>
        </is>
      </c>
      <c r="D75" s="35" t="inlineStr">
        <is>
          <t>Visitor stream, Gateshead indicator only</t>
        </is>
      </c>
      <c r="E75" s="34" t="inlineStr">
        <is>
          <t>%</t>
        </is>
      </c>
      <c r="F75" s="34" t="n">
        <v>25</v>
      </c>
      <c r="G75" s="34" t="n">
        <v>50</v>
      </c>
      <c r="H75" s="34" t="n">
        <v>75</v>
      </c>
      <c r="I75" s="34" t="inlineStr">
        <is>
          <t>high</t>
        </is>
      </c>
      <c r="J75" s="34" t="n">
        <v>6</v>
      </c>
      <c r="K75" s="9" t="n"/>
      <c r="L75" s="9" t="n"/>
      <c r="M75" s="9" t="n"/>
      <c r="N75" s="36">
        <f>IF(K75&lt;&gt;"",K75,IF(I75="high",IF(H75="",G75,H75),IF(I75="low",IF(F75="",G75,F75),G75)))</f>
        <v/>
      </c>
      <c r="O75" s="36">
        <f>IF(K75&lt;&gt;"",K75,G75)</f>
        <v/>
      </c>
      <c r="P75" s="36">
        <f>IF(K75&lt;&gt;"",K75,IF(I75="high",IF(F75="",G75,F75),IF(I75="low",IF(H75="",G75,H75),G75)))</f>
        <v/>
      </c>
      <c r="Q75" s="36">
        <f>IF(M75&lt;&gt;"",M75,J75)</f>
        <v/>
      </c>
      <c r="R75" s="37" t="inlineStr">
        <is>
          <t>HCA Additionality Guide, 4th edition</t>
        </is>
      </c>
      <c r="S75" s="37" t="inlineStr">
        <is>
          <t>2014</t>
        </is>
      </c>
      <c r="T75" s="37" t="inlineStr">
        <is>
          <t>Table 4.8 ready reckoner</t>
        </is>
      </c>
      <c r="U75" s="37" t="inlineStr">
        <is>
          <t>About half of the activity would be displaced (medium)</t>
        </is>
      </c>
      <c r="V75" s="37" t="inlineStr">
        <is>
          <t>Towns Fund found no displacement to neighbouring towns, but only tested at town level</t>
        </is>
      </c>
      <c r="W75" s="38" t="inlineStr">
        <is>
          <t>Open source</t>
        </is>
      </c>
    </row>
    <row r="76">
      <c r="A76" s="34" t="inlineStr">
        <is>
          <t>X6</t>
        </is>
      </c>
      <c r="B76" s="34" t="inlineStr">
        <is>
          <t>Visitors</t>
        </is>
      </c>
      <c r="C76" s="35" t="inlineStr">
        <is>
          <t>Attendance per session, community and group uses</t>
        </is>
      </c>
      <c r="D76" s="35" t="inlineStr">
        <is>
          <t>Community hub, training, arts</t>
        </is>
      </c>
      <c r="E76" s="34" t="inlineStr">
        <is>
          <t>people per session</t>
        </is>
      </c>
      <c r="F76" s="34" t="n">
        <v>2</v>
      </c>
      <c r="G76" s="34" t="n">
        <v>11</v>
      </c>
      <c r="H76" s="34" t="n">
        <v>30</v>
      </c>
      <c r="I76" s="34" t="inlineStr">
        <is>
          <t>low</t>
        </is>
      </c>
      <c r="J76" s="34" t="n">
        <v>6</v>
      </c>
      <c r="K76" s="9" t="n"/>
      <c r="L76" s="9" t="n"/>
      <c r="M76" s="9" t="n"/>
      <c r="N76" s="36">
        <f>IF(K76&lt;&gt;"",K76,IF(I76="high",IF(H76="",G76,H76),IF(I76="low",IF(F76="",G76,F76),G76)))</f>
        <v/>
      </c>
      <c r="O76" s="36">
        <f>IF(K76&lt;&gt;"",K76,G76)</f>
        <v/>
      </c>
      <c r="P76" s="36">
        <f>IF(K76&lt;&gt;"",K76,IF(I76="high",IF(F76="",G76,F76),IF(I76="low",IF(H76="",G76,H76),G76)))</f>
        <v/>
      </c>
      <c r="Q76" s="36">
        <f>IF(M76&lt;&gt;"",M76,J76)</f>
        <v/>
      </c>
      <c r="R76" s="37" t="inlineStr">
        <is>
          <t>Open Doors Pilot Programme evaluation</t>
        </is>
      </c>
      <c r="S76" s="37" t="inlineStr">
        <is>
          <t>November 2020</t>
        </is>
      </c>
      <c r="T76" s="37" t="inlineStr">
        <is>
          <t>Chapter 3 MI data</t>
        </is>
      </c>
      <c r="U76" s="37" t="inlineStr">
        <is>
          <t>ranged from a minimum of two up to a maximum of 30, with the average number of attendees being 11</t>
        </is>
      </c>
      <c r="V76" s="37" t="inlineStr">
        <is>
          <t>Groups per site 6 to 12, mostly weekly, 3 to 4 hour sessions. Indicative only (small bases)</t>
        </is>
      </c>
      <c r="W76" s="38" t="inlineStr">
        <is>
          <t>Open source</t>
        </is>
      </c>
    </row>
    <row r="77">
      <c r="A77" s="34" t="inlineStr">
        <is>
          <t>X7</t>
        </is>
      </c>
      <c r="B77" s="34" t="inlineStr">
        <is>
          <t>Visitors</t>
        </is>
      </c>
      <c r="C77" s="35" t="inlineStr">
        <is>
          <t>VAT removed from visitor spend before the GVA share</t>
        </is>
      </c>
      <c r="D77" s="35" t="inlineStr">
        <is>
          <t>Visitor stream, Gateshead indicator only</t>
        </is>
      </c>
      <c r="E77" s="34" t="inlineStr">
        <is>
          <t>divisor</t>
        </is>
      </c>
      <c r="F77" s="34" t="n"/>
      <c r="G77" s="34" t="n">
        <v>1.2</v>
      </c>
      <c r="H77" s="34" t="n"/>
      <c r="I77" s="34" t="inlineStr"/>
      <c r="J77" s="34" t="inlineStr">
        <is>
          <t>Rule</t>
        </is>
      </c>
      <c r="K77" s="9" t="n"/>
      <c r="L77" s="9" t="n"/>
      <c r="M77" s="9" t="n"/>
      <c r="N77" s="36">
        <f>IF(K77&lt;&gt;"",K77,IF(I77="high",IF(H77="",G77,H77),IF(I77="low",IF(F77="",G77,F77),G77)))</f>
        <v/>
      </c>
      <c r="O77" s="36">
        <f>IF(K77&lt;&gt;"",K77,G77)</f>
        <v/>
      </c>
      <c r="P77" s="36">
        <f>IF(K77&lt;&gt;"",K77,IF(I77="high",IF(F77="",G77,F77),IF(I77="low",IF(H77="",G77,H77),G77)))</f>
        <v/>
      </c>
      <c r="Q77" s="36">
        <f>IF(M77&lt;&gt;"",M77,J77)</f>
        <v/>
      </c>
      <c r="R77" s="37" t="inlineStr">
        <is>
          <t>GOV.UK, VAT rates</t>
        </is>
      </c>
      <c r="S77" s="37" t="inlineStr">
        <is>
          <t>Checked 23 October 2026</t>
        </is>
      </c>
      <c r="T77" s="37" t="inlineStr">
        <is>
          <t>Standard rate</t>
        </is>
      </c>
      <c r="U77" s="37" t="inlineStr">
        <is>
          <t>Standard rate 20% ... Most goods and services</t>
        </is>
      </c>
      <c r="V77" s="37" t="inlineStr">
        <is>
          <t>ABS turnover excludes VAT while visitor spend includes it. Spend is divided by 1.2, treating it all as standard-rated, which slightly understates GVA where spend is zero-rated. MHCLG did not adjust; our correction</t>
        </is>
      </c>
      <c r="W77" s="38" t="inlineStr">
        <is>
          <t>Open source</t>
        </is>
      </c>
    </row>
    <row r="78">
      <c r="A78" s="34" t="inlineStr">
        <is>
          <t>Z1</t>
        </is>
      </c>
      <c r="B78" s="34" t="inlineStr">
        <is>
          <t>Businesses</t>
        </is>
      </c>
      <c r="C78" s="35" t="inlineStr">
        <is>
          <t>1-year survival of new businesses</t>
        </is>
      </c>
      <c r="D78" s="35" t="inlineStr">
        <is>
          <t>Business counts</t>
        </is>
      </c>
      <c r="E78" s="34" t="inlineStr">
        <is>
          <t>%</t>
        </is>
      </c>
      <c r="F78" s="34" t="n">
        <v>92.7</v>
      </c>
      <c r="G78" s="34" t="n">
        <v>92.90000000000001</v>
      </c>
      <c r="H78" s="34" t="n">
        <v>93.40000000000001</v>
      </c>
      <c r="I78" s="34" t="inlineStr">
        <is>
          <t>low</t>
        </is>
      </c>
      <c r="J78" s="34" t="n">
        <v>3</v>
      </c>
      <c r="K78" s="9" t="n"/>
      <c r="L78" s="9" t="n"/>
      <c r="M78" s="9" t="n"/>
      <c r="N78" s="36">
        <f>IF(K78&lt;&gt;"",K78,IF(I78="high",IF(H78="",G78,H78),IF(I78="low",IF(F78="",G78,F78),G78)))</f>
        <v/>
      </c>
      <c r="O78" s="36">
        <f>IF(K78&lt;&gt;"",K78,G78)</f>
        <v/>
      </c>
      <c r="P78" s="36">
        <f>IF(K78&lt;&gt;"",K78,IF(I78="high",IF(F78="",G78,F78),IF(I78="low",IF(H78="",G78,H78),G78)))</f>
        <v/>
      </c>
      <c r="Q78" s="36">
        <f>IF(M78&lt;&gt;"",M78,J78)</f>
        <v/>
      </c>
      <c r="R78" s="37" t="inlineStr">
        <is>
          <t>ONS Business demography, UK: 2024</t>
        </is>
      </c>
      <c r="S78" s="37" t="inlineStr">
        <is>
          <t>20 November 2025 (next edition 19 November 2026)</t>
        </is>
      </c>
      <c r="T78" s="37" t="inlineStr">
        <is>
          <t>Table 5.1e (2023 births)</t>
        </is>
      </c>
      <c r="U78" s="37" t="inlineStr"/>
      <c r="V78" s="37" t="inlineStr">
        <is>
          <t>Gateshead central; North East low; UK high. Counts only (decision 16)</t>
        </is>
      </c>
      <c r="W78" s="38" t="inlineStr">
        <is>
          <t>Open source</t>
        </is>
      </c>
    </row>
    <row r="79">
      <c r="A79" s="34" t="inlineStr">
        <is>
          <t>Z2</t>
        </is>
      </c>
      <c r="B79" s="34" t="inlineStr">
        <is>
          <t>Businesses</t>
        </is>
      </c>
      <c r="C79" s="35" t="inlineStr">
        <is>
          <t>3-year survival of new businesses</t>
        </is>
      </c>
      <c r="D79" s="35" t="inlineStr">
        <is>
          <t>Business counts</t>
        </is>
      </c>
      <c r="E79" s="34" t="inlineStr">
        <is>
          <t>%</t>
        </is>
      </c>
      <c r="F79" s="34" t="n">
        <v>51.9</v>
      </c>
      <c r="G79" s="34" t="n">
        <v>52.9</v>
      </c>
      <c r="H79" s="34" t="n">
        <v>53.5</v>
      </c>
      <c r="I79" s="34" t="inlineStr">
        <is>
          <t>low</t>
        </is>
      </c>
      <c r="J79" s="34" t="n">
        <v>3</v>
      </c>
      <c r="K79" s="9" t="n"/>
      <c r="L79" s="9" t="n"/>
      <c r="M79" s="9" t="n"/>
      <c r="N79" s="36">
        <f>IF(K79&lt;&gt;"",K79,IF(I79="high",IF(H79="",G79,H79),IF(I79="low",IF(F79="",G79,F79),G79)))</f>
        <v/>
      </c>
      <c r="O79" s="36">
        <f>IF(K79&lt;&gt;"",K79,G79)</f>
        <v/>
      </c>
      <c r="P79" s="36">
        <f>IF(K79&lt;&gt;"",K79,IF(I79="high",IF(F79="",G79,F79),IF(I79="low",IF(H79="",G79,H79),G79)))</f>
        <v/>
      </c>
      <c r="Q79" s="36">
        <f>IF(M79&lt;&gt;"",M79,J79)</f>
        <v/>
      </c>
      <c r="R79" s="37" t="inlineStr">
        <is>
          <t>ONS Business demography, UK: 2024</t>
        </is>
      </c>
      <c r="S79" s="37" t="inlineStr">
        <is>
          <t>20 November 2025 (next edition 19 November 2026)</t>
        </is>
      </c>
      <c r="T79" s="37" t="inlineStr">
        <is>
          <t>Table 5.1c (2021 births)</t>
        </is>
      </c>
      <c r="U79" s="37" t="inlineStr"/>
      <c r="V79" s="37" t="inlineStr">
        <is>
          <t>UK 3-year survival by industry (2021 births, Table 5.2c): retail 48.7%, food and beverage 48.7%, creative arts 67.1%, sport and recreation 60.9%, membership organisations 72.8%. Meanwhile start-ups are not typical births: flag</t>
        </is>
      </c>
      <c r="W79" s="38" t="inlineStr">
        <is>
          <t>Open source</t>
        </is>
      </c>
    </row>
    <row r="80">
      <c r="A80" s="34" t="inlineStr">
        <is>
          <t>S1</t>
        </is>
      </c>
      <c r="B80" s="34" t="inlineStr">
        <is>
          <t>Social value</t>
        </is>
      </c>
      <c r="C80" s="35" t="inlineStr">
        <is>
          <t>Volunteering wellbeing value</t>
        </is>
      </c>
      <c r="D80" s="35" t="inlineStr">
        <is>
          <t>Regular volunteers</t>
        </is>
      </c>
      <c r="E80" s="34" t="inlineStr">
        <is>
          <t>£ per volunteer a year</t>
        </is>
      </c>
      <c r="F80" s="34" t="n"/>
      <c r="G80" s="34" t="n">
        <v>1204.4216</v>
      </c>
      <c r="H80" s="34" t="n"/>
      <c r="I80" s="34" t="inlineStr"/>
      <c r="J80" s="34" t="n">
        <v>6</v>
      </c>
      <c r="K80" s="9" t="n"/>
      <c r="L80" s="9" t="n"/>
      <c r="M80" s="9" t="n"/>
      <c r="N80" s="36">
        <f>IF(K80&lt;&gt;"",K80,IF(I80="high",IF(H80="",G80,H80),IF(I80="low",IF(F80="",G80,F80),G80)))</f>
        <v/>
      </c>
      <c r="O80" s="36">
        <f>IF(K80&lt;&gt;"",K80,G80)</f>
        <v/>
      </c>
      <c r="P80" s="36">
        <f>IF(K80&lt;&gt;"",K80,IF(I80="high",IF(F80="",G80,F80),IF(I80="low",IF(H80="",G80,H80),G80)))</f>
        <v/>
      </c>
      <c r="Q80" s="36">
        <f>IF(M80&lt;&gt;"",M80,J80)</f>
        <v/>
      </c>
      <c r="R80" s="37" t="inlineStr">
        <is>
          <t>HM Treasury, Wellbeing Guidance for Appraisal (2021), from Lawton et al. (2021) Journal of Happiness Studies 22: 599-624</t>
        </is>
      </c>
      <c r="S80" s="37" t="inlineStr">
        <is>
          <t>July 2021</t>
        </is>
      </c>
      <c r="T80" s="37" t="inlineStr">
        <is>
          <t>Annex 2 table</t>
        </is>
      </c>
      <c r="U80" s="37" t="inlineStr">
        <is>
          <t>gives a value of £911 per volunteer per year on average</t>
        </is>
      </c>
      <c r="V80" s="37" t="inlineStr">
        <is>
          <t>Price year not stated in the guidance or found in the paper; treated as 2019 prices like the guidance's other values and uprated by A5. Pro-rate for months volunteering</t>
        </is>
      </c>
      <c r="W80" s="38" t="inlineStr">
        <is>
          <t>Open source</t>
        </is>
      </c>
    </row>
    <row r="81">
      <c r="A81" s="34" t="inlineStr">
        <is>
          <t>S2</t>
        </is>
      </c>
      <c r="B81" s="34" t="inlineStr">
        <is>
          <t>Social value</t>
        </is>
      </c>
      <c r="C81" s="35" t="inlineStr">
        <is>
          <t>Wellbeing value of moving from unemployment to work</t>
        </is>
      </c>
      <c r="D81" s="35" t="inlineStr">
        <is>
          <t>Jobs filled by previously unemployed residents</t>
        </is>
      </c>
      <c r="E81" s="34" t="inlineStr">
        <is>
          <t>£ per person a year</t>
        </is>
      </c>
      <c r="F81" s="34" t="n">
        <v>5023.9322</v>
      </c>
      <c r="G81" s="34" t="n">
        <v>7906.0828</v>
      </c>
      <c r="H81" s="34" t="n">
        <v>11211.3014</v>
      </c>
      <c r="I81" s="34" t="inlineStr">
        <is>
          <t>low</t>
        </is>
      </c>
      <c r="J81" s="34" t="n">
        <v>6</v>
      </c>
      <c r="K81" s="9" t="n"/>
      <c r="L81" s="9" t="n"/>
      <c r="M81" s="9" t="n"/>
      <c r="N81" s="36">
        <f>IF(K81&lt;&gt;"",K81,IF(I81="high",IF(H81="",G81,H81),IF(I81="low",IF(F81="",G81,F81),G81)))</f>
        <v/>
      </c>
      <c r="O81" s="36">
        <f>IF(K81&lt;&gt;"",K81,G81)</f>
        <v/>
      </c>
      <c r="P81" s="36">
        <f>IF(K81&lt;&gt;"",K81,IF(I81="high",IF(F81="",G81,F81),IF(I81="low",IF(H81="",G81,H81),G81)))</f>
        <v/>
      </c>
      <c r="Q81" s="36">
        <f>IF(M81&lt;&gt;"",M81,J81)</f>
        <v/>
      </c>
      <c r="R81" s="37" t="inlineStr">
        <is>
          <t>HM Treasury, Wellbeing Guidance for Appraisal (2021); MHCLG Appraisal Guide 6.19</t>
        </is>
      </c>
      <c r="S81" s="37" t="inlineStr">
        <is>
          <t>July 2021</t>
        </is>
      </c>
      <c r="T81" s="37" t="inlineStr">
        <is>
          <t>Annex 2 table</t>
        </is>
      </c>
      <c r="U81" s="37" t="inlineStr">
        <is>
          <t>central value of £5,980 per annum in 2019 prices (MHCLG 6.19)</t>
        </is>
      </c>
      <c r="V81" s="37" t="inlineStr">
        <is>
          <t>Over and above income. Gateshead lens allowed (MHCLG 6.23); UK lens only with evidence of new labour supply (Green Book 8.42 to 8.43)</t>
        </is>
      </c>
      <c r="W81" s="38" t="inlineStr">
        <is>
          <t>Open source</t>
        </is>
      </c>
    </row>
    <row r="82">
      <c r="A82" s="34" t="inlineStr">
        <is>
          <t>S3</t>
        </is>
      </c>
      <c r="B82" s="34" t="inlineStr">
        <is>
          <t>Social value</t>
        </is>
      </c>
      <c r="C82" s="35" t="inlineStr">
        <is>
          <t>Share of jobs filled by previously unemployed local residents</t>
        </is>
      </c>
      <c r="D82" s="35" t="inlineStr">
        <is>
          <t>S2</t>
        </is>
      </c>
      <c r="E82" s="34" t="inlineStr">
        <is>
          <t>%</t>
        </is>
      </c>
      <c r="F82" s="34" t="n">
        <v>10</v>
      </c>
      <c r="G82" s="34" t="n">
        <v>20</v>
      </c>
      <c r="H82" s="34" t="n">
        <v>40</v>
      </c>
      <c r="I82" s="34" t="inlineStr">
        <is>
          <t>low</t>
        </is>
      </c>
      <c r="J82" s="34" t="n">
        <v>6</v>
      </c>
      <c r="K82" s="9" t="n"/>
      <c r="L82" s="9" t="n"/>
      <c r="M82" s="9" t="n"/>
      <c r="N82" s="36">
        <f>IF(K82&lt;&gt;"",K82,IF(I82="high",IF(H82="",G82,H82),IF(I82="low",IF(F82="",G82,F82),G82)))</f>
        <v/>
      </c>
      <c r="O82" s="36">
        <f>IF(K82&lt;&gt;"",K82,G82)</f>
        <v/>
      </c>
      <c r="P82" s="36">
        <f>IF(K82&lt;&gt;"",K82,IF(I82="high",IF(F82="",G82,F82),IF(I82="low",IF(H82="",G82,H82),G82)))</f>
        <v/>
      </c>
      <c r="Q82" s="36">
        <f>IF(M82&lt;&gt;"",M82,J82)</f>
        <v/>
      </c>
      <c r="R82" s="37" t="inlineStr">
        <is>
          <t>HCA Additionality Guide, 4th edition (property-led regeneration research)</t>
        </is>
      </c>
      <c r="S82" s="37" t="inlineStr">
        <is>
          <t>2014 (underlying research 1980s to 1990s)</t>
        </is>
      </c>
      <c r="T82" s="37" t="inlineStr">
        <is>
          <t>Chapter 4 leakage evidence</t>
        </is>
      </c>
      <c r="U82" s="37" t="inlineStr">
        <is>
          <t>companies in fairly deprived areas were filling about 40% of their vacancies from unemployed people in the local area</t>
        </is>
      </c>
      <c r="V82" s="37" t="inlineStr">
        <is>
          <t>High = the quoted figure; low and central our judgement. Officer override from recruitment records</t>
        </is>
      </c>
      <c r="W82" s="38" t="inlineStr">
        <is>
          <t>Open source</t>
        </is>
      </c>
    </row>
    <row r="83">
      <c r="A83" s="34" t="inlineStr">
        <is>
          <t>S4</t>
        </is>
      </c>
      <c r="B83" s="34" t="inlineStr">
        <is>
          <t>Social value</t>
        </is>
      </c>
      <c r="C83" s="35" t="inlineStr">
        <is>
          <t>Deadweight for jobseekers</t>
        </is>
      </c>
      <c r="D83" s="35" t="inlineStr">
        <is>
          <t>S2</t>
        </is>
      </c>
      <c r="E83" s="34" t="inlineStr">
        <is>
          <t>%</t>
        </is>
      </c>
      <c r="F83" s="34" t="n"/>
      <c r="G83" s="34" t="n">
        <v>26.3</v>
      </c>
      <c r="H83" s="34" t="n"/>
      <c r="I83" s="34" t="inlineStr"/>
      <c r="J83" s="34" t="n">
        <v>6</v>
      </c>
      <c r="K83" s="9" t="n"/>
      <c r="L83" s="9" t="n"/>
      <c r="M83" s="9" t="n"/>
      <c r="N83" s="36">
        <f>IF(K83&lt;&gt;"",K83,IF(I83="high",IF(H83="",G83,H83),IF(I83="low",IF(F83="",G83,F83),G83)))</f>
        <v/>
      </c>
      <c r="O83" s="36">
        <f>IF(K83&lt;&gt;"",K83,G83)</f>
        <v/>
      </c>
      <c r="P83" s="36">
        <f>IF(K83&lt;&gt;"",K83,IF(I83="high",IF(F83="",G83,F83),IF(I83="low",IF(H83="",G83,H83),G83)))</f>
        <v/>
      </c>
      <c r="Q83" s="36">
        <f>IF(M83&lt;&gt;"",M83,J83)</f>
        <v/>
      </c>
      <c r="R83" s="37" t="inlineStr">
        <is>
          <t>HM Treasury, CBA guidance for local partnerships</t>
        </is>
      </c>
      <c r="S83" s="37" t="inlineStr">
        <is>
          <t>April 2014</t>
        </is>
      </c>
      <c r="T83" s="37" t="inlineStr">
        <is>
          <t>Chapter 8 (employment)</t>
        </is>
      </c>
      <c r="U83" s="37" t="inlineStr">
        <is>
          <t>BIS analysis of 16 people and skills evaluations: 26.3% (paraphrase)</t>
        </is>
      </c>
      <c r="V83" s="37" t="inlineStr"/>
      <c r="W83" s="38" t="inlineStr">
        <is>
          <t>Open source</t>
        </is>
      </c>
    </row>
    <row r="84">
      <c r="A84" s="34" t="inlineStr">
        <is>
          <t>S5</t>
        </is>
      </c>
      <c r="B84" s="34" t="inlineStr">
        <is>
          <t>Social value</t>
        </is>
      </c>
      <c r="C84" s="35" t="inlineStr">
        <is>
          <t>Regular cultural or creative participation</t>
        </is>
      </c>
      <c r="D84" s="35" t="inlineStr">
        <is>
          <t>Arts, culture, creative and community uses</t>
        </is>
      </c>
      <c r="E84" s="34" t="inlineStr">
        <is>
          <t>£ per regular participant a year</t>
        </is>
      </c>
      <c r="F84" s="34" t="n"/>
      <c r="G84" s="34" t="n">
        <v>606.9342</v>
      </c>
      <c r="H84" s="34" t="n"/>
      <c r="I84" s="34" t="inlineStr">
        <is>
          <t>low</t>
        </is>
      </c>
      <c r="J84" s="34" t="n">
        <v>4</v>
      </c>
      <c r="K84" s="9" t="n"/>
      <c r="L84" s="9" t="n"/>
      <c r="M84" s="9" t="n"/>
      <c r="N84" s="36">
        <f>IF(K84&lt;&gt;"",K84,IF(I84="high",IF(H84="",G84,H84),IF(I84="low",IF(F84="",G84,F84),G84)))</f>
        <v/>
      </c>
      <c r="O84" s="36">
        <f>IF(K84&lt;&gt;"",K84,G84)</f>
        <v/>
      </c>
      <c r="P84" s="36">
        <f>IF(K84&lt;&gt;"",K84,IF(I84="high",IF(F84="",G84,F84),IF(I84="low",IF(H84="",G84,H84),G84)))</f>
        <v/>
      </c>
      <c r="Q84" s="36">
        <f>IF(M84&lt;&gt;"",M84,J84)</f>
        <v/>
      </c>
      <c r="R84" s="37" t="inlineStr">
        <is>
          <t>GMCA Unit Cost Database v3.0, from DCMS Culture and Heritage Capital (2024)</t>
        </is>
      </c>
      <c r="S84" s="37" t="inlineStr">
        <is>
          <t>November 2025 (2025/26 prices)</t>
        </is>
      </c>
      <c r="T84" s="37" t="inlineStr">
        <is>
          <t>C&amp;S1.1</t>
        </is>
      </c>
      <c r="U84" s="37" t="inlineStr">
        <is>
          <t>Estimated benefits from attending cultural activities once a week to the mental health of adults (aged 30-49)</t>
        </is>
      </c>
      <c r="V84" s="37" t="inlineStr">
        <is>
          <t>Default for adults 30 to 49. The officer picks the value matching the group instead: weekly organised arts, young adults 18 to 29, £720 (C&amp;S4.0); arts participation more than once a week, adults 30 to 49, £419 (C&amp;S1.2). These are subgroup values, not a range. WELLBY-derived, so discounted at 1.5% (A2). GMCA priced these at 2023/24 and inflated them to 2025/26; we apply the deflator step only, not the real GDP per head step. Regular participants only: Wellbeing Guidance Table 4 says evaluative measures do not suit a one-off cultural event. RAG green. DCMS 2024 source still to be read</t>
        </is>
      </c>
      <c r="W84" s="38" t="inlineStr">
        <is>
          <t>Open source</t>
        </is>
      </c>
    </row>
    <row r="85">
      <c r="A85" s="34" t="inlineStr">
        <is>
          <t>S6</t>
        </is>
      </c>
      <c r="B85" s="34" t="inlineStr">
        <is>
          <t>Social value</t>
        </is>
      </c>
      <c r="C85" s="35" t="inlineStr">
        <is>
          <t>Loneliness (moderate to mild)</t>
        </is>
      </c>
      <c r="D85" s="35" t="inlineStr">
        <is>
          <t>Sensitivity only</t>
        </is>
      </c>
      <c r="E85" s="34" t="inlineStr">
        <is>
          <t>£ per person a year</t>
        </is>
      </c>
      <c r="F85" s="34" t="n">
        <v>7800.3158</v>
      </c>
      <c r="G85" s="34" t="n">
        <v>12030.9956</v>
      </c>
      <c r="H85" s="34" t="n">
        <v>17134.2531</v>
      </c>
      <c r="I85" s="34" t="inlineStr">
        <is>
          <t>low</t>
        </is>
      </c>
      <c r="J85" s="34" t="n">
        <v>6</v>
      </c>
      <c r="K85" s="9" t="n"/>
      <c r="L85" s="9" t="n"/>
      <c r="M85" s="9" t="n"/>
      <c r="N85" s="36">
        <f>IF(K85&lt;&gt;"",K85,IF(I85="high",IF(H85="",G85,H85),IF(I85="low",IF(F85="",G85,F85),G85)))</f>
        <v/>
      </c>
      <c r="O85" s="36">
        <f>IF(K85&lt;&gt;"",K85,G85)</f>
        <v/>
      </c>
      <c r="P85" s="36">
        <f>IF(K85&lt;&gt;"",K85,IF(I85="high",IF(F85="",G85,F85),IF(I85="low",IF(H85="",G85,H85),G85)))</f>
        <v/>
      </c>
      <c r="Q85" s="36">
        <f>IF(M85&lt;&gt;"",M85,J85)</f>
        <v/>
      </c>
      <c r="R85" s="37" t="inlineStr">
        <is>
          <t>HM Treasury, Wellbeing Guidance for Appraisal (2021)</t>
        </is>
      </c>
      <c r="S85" s="37" t="inlineStr">
        <is>
          <t>July 2021</t>
        </is>
      </c>
      <c r="T85" s="37" t="inlineStr">
        <is>
          <t>Annex 2 table</t>
        </is>
      </c>
      <c r="U85" s="37" t="inlineStr">
        <is>
          <t>causality unclear</t>
        </is>
      </c>
      <c r="V85" s="37" t="inlineStr">
        <is>
          <t>Sensitivity sheet only; never in a ratio. Built on £13.5k per point (footnote 108), not £13,000, with an unclear price year; uprating it as 2019 prices is our assumption</t>
        </is>
      </c>
      <c r="W85" s="38" t="inlineStr">
        <is>
          <t>Open source</t>
        </is>
      </c>
    </row>
    <row r="86">
      <c r="A86" s="34" t="inlineStr">
        <is>
          <t>S7</t>
        </is>
      </c>
      <c r="B86" s="34" t="inlineStr">
        <is>
          <t>Social value</t>
        </is>
      </c>
      <c r="C86" s="35" t="inlineStr">
        <is>
          <t>Pride in place (switching test)</t>
        </is>
      </c>
      <c r="D86" s="35" t="inlineStr">
        <is>
          <t>Sensitivity only</t>
        </is>
      </c>
      <c r="E86" s="34" t="inlineStr">
        <is>
          <t>£ per person a year</t>
        </is>
      </c>
      <c r="F86" s="34" t="n"/>
      <c r="G86" s="34" t="n">
        <v>4620</v>
      </c>
      <c r="H86" s="34" t="n"/>
      <c r="I86" s="34" t="inlineStr"/>
      <c r="J86" s="34" t="n">
        <v>6</v>
      </c>
      <c r="K86" s="9" t="n"/>
      <c r="L86" s="9" t="n"/>
      <c r="M86" s="9" t="n"/>
      <c r="N86" s="36">
        <f>IF(K86&lt;&gt;"",K86,IF(I86="high",IF(H86="",G86,H86),IF(I86="low",IF(F86="",G86,F86),G86)))</f>
        <v/>
      </c>
      <c r="O86" s="36">
        <f>IF(K86&lt;&gt;"",K86,G86)</f>
        <v/>
      </c>
      <c r="P86" s="36">
        <f>IF(K86&lt;&gt;"",K86,IF(I86="high",IF(F86="",G86,F86),IF(I86="low",IF(H86="",G86,H86),G86)))</f>
        <v/>
      </c>
      <c r="Q86" s="36">
        <f>IF(M86&lt;&gt;"",M86,J86)</f>
        <v/>
      </c>
      <c r="R86" s="37" t="inlineStr">
        <is>
          <t>MHCLG Towns Fund evaluation VfM Annex (HACT value)</t>
        </is>
      </c>
      <c r="S86" s="37" t="inlineStr">
        <is>
          <t>17 July 2026</t>
        </is>
      </c>
      <c r="T86" s="37" t="inlineStr">
        <is>
          <t>Table A.4</t>
        </is>
      </c>
      <c r="U86" s="37" t="inlineStr">
        <is>
          <t>Value pride in place £4,620 per person, per year</t>
        </is>
      </c>
      <c r="V86" s="37" t="inlineStr">
        <is>
          <t>Decision 6: switching test only. Price year not stated; held at the published figure</t>
        </is>
      </c>
      <c r="W86" s="38" t="inlineStr">
        <is>
          <t>Open source</t>
        </is>
      </c>
    </row>
    <row r="87">
      <c r="A87" s="34" t="inlineStr">
        <is>
          <t>S8</t>
        </is>
      </c>
      <c r="B87" s="34" t="inlineStr">
        <is>
          <t>Social value</t>
        </is>
      </c>
      <c r="C87" s="35" t="inlineStr">
        <is>
          <t>Fiscal saving, workless claimant into full-time work (memo line)</t>
        </is>
      </c>
      <c r="D87" s="35" t="inlineStr">
        <is>
          <t>Memo line, never in a ratio</t>
        </is>
      </c>
      <c r="E87" s="34" t="inlineStr">
        <is>
          <t>£ per person a year</t>
        </is>
      </c>
      <c r="F87" s="34" t="n"/>
      <c r="G87" s="34" t="n">
        <v>18091.7384</v>
      </c>
      <c r="H87" s="34" t="n"/>
      <c r="I87" s="34" t="inlineStr"/>
      <c r="J87" s="34" t="n">
        <v>4</v>
      </c>
      <c r="K87" s="9" t="n"/>
      <c r="L87" s="9" t="n"/>
      <c r="M87" s="9" t="n"/>
      <c r="N87" s="36">
        <f>IF(K87&lt;&gt;"",K87,IF(I87="high",IF(H87="",G87,H87),IF(I87="low",IF(F87="",G87,F87),G87)))</f>
        <v/>
      </c>
      <c r="O87" s="36">
        <f>IF(K87&lt;&gt;"",K87,G87)</f>
        <v/>
      </c>
      <c r="P87" s="36">
        <f>IF(K87&lt;&gt;"",K87,IF(I87="high",IF(F87="",G87,F87),IF(I87="low",IF(H87="",G87,H87),G87)))</f>
        <v/>
      </c>
      <c r="Q87" s="36">
        <f>IF(M87&lt;&gt;"",M87,J87)</f>
        <v/>
      </c>
      <c r="R87" s="37" t="inlineStr">
        <is>
          <t>GMCA Unit Cost Database v3.0</t>
        </is>
      </c>
      <c r="S87" s="37" t="inlineStr">
        <is>
          <t>November 2025 (2025/26 prices)</t>
        </is>
      </c>
      <c r="T87" s="37" t="inlineStr">
        <is>
          <t>E&amp;E1.0 fiscal</t>
        </is>
      </c>
      <c r="U87" s="37" t="inlineStr">
        <is>
          <t>Fiscal, economic and social benefit from a single workless claimant with no children entering full-time (row description)</t>
        </is>
      </c>
      <c r="V87" s="37" t="inlineStr">
        <is>
          <t>Part-time work: £6,685 (E&amp;E1.1). Cashable only with decommissioning (local partnerships guidance 7.26)</t>
        </is>
      </c>
      <c r="W87" s="38" t="inlineStr">
        <is>
          <t>Open source</t>
        </is>
      </c>
    </row>
    <row r="88">
      <c r="A88" s="34" t="inlineStr">
        <is>
          <t>S9</t>
        </is>
      </c>
      <c r="B88" s="34" t="inlineStr">
        <is>
          <t>Social value</t>
        </is>
      </c>
      <c r="C88" s="35" t="inlineStr">
        <is>
          <t>Training</t>
        </is>
      </c>
      <c r="D88" s="35" t="inlineStr">
        <is>
          <t>Training and skills, and any use running courses</t>
        </is>
      </c>
      <c r="E88" s="34" t="inlineStr">
        <is>
          <t>count</t>
        </is>
      </c>
      <c r="F88" s="34" t="n"/>
      <c r="G88" s="34" t="inlineStr">
        <is>
          <t>Learners and qualifications counted</t>
        </is>
      </c>
      <c r="H88" s="34" t="n"/>
      <c r="I88" s="34" t="inlineStr"/>
      <c r="J88" s="34" t="n">
        <v>6</v>
      </c>
      <c r="K88" s="9" t="n"/>
      <c r="L88" s="9" t="n"/>
      <c r="M88" s="9" t="n"/>
      <c r="N88" s="36">
        <f>IF(K88&lt;&gt;"",K88,IF(I88="high",IF(H88="",G88,H88),IF(I88="low",IF(F88="",G88,F88),G88)))</f>
        <v/>
      </c>
      <c r="O88" s="36">
        <f>IF(K88&lt;&gt;"",K88,G88)</f>
        <v/>
      </c>
      <c r="P88" s="36">
        <f>IF(K88&lt;&gt;"",K88,IF(I88="high",IF(F88="",G88,F88),IF(I88="low",IF(H88="",G88,H88),G88)))</f>
        <v/>
      </c>
      <c r="Q88" s="36">
        <f>IF(M88&lt;&gt;"",M88,J88)</f>
        <v/>
      </c>
      <c r="R88" s="37" t="inlineStr">
        <is>
          <t>GMCA Unit Cost Database v3.0 (for accredited courses only)</t>
        </is>
      </c>
      <c r="S88" s="37" t="inlineStr">
        <is>
          <t>November 2025</t>
        </is>
      </c>
      <c r="T88" s="37" t="inlineStr">
        <is>
          <t>E&amp;S5.0 (NVQ Level 2), E&amp;S12.0 (NVQ Level 3)</t>
        </is>
      </c>
      <c r="U88" s="37" t="inlineStr">
        <is>
          <t>NVQ Level 2 qualification - annual fiscal and economic benefits</t>
        </is>
      </c>
      <c r="V88" s="37" t="inlineStr">
        <is>
          <t>Decision 9: a count unless accredited. Where a full Level 2 or 3 qualification is achieved, its annual value shows on the Sensitivity sheet only, because it is an earnings value that overlaps GVA</t>
        </is>
      </c>
      <c r="W88" s="38" t="inlineStr">
        <is>
          <t>Open source</t>
        </is>
      </c>
    </row>
    <row r="89">
      <c r="A89" s="34" t="inlineStr">
        <is>
          <t>S10</t>
        </is>
      </c>
      <c r="B89" s="34" t="inlineStr">
        <is>
          <t>Social value</t>
        </is>
      </c>
      <c r="C89" s="35" t="inlineStr">
        <is>
          <t>Accredited Level 2 qualification (sensitivity only)</t>
        </is>
      </c>
      <c r="D89" s="35" t="inlineStr">
        <is>
          <t>S9, Sensitivity sheet</t>
        </is>
      </c>
      <c r="E89" s="34" t="inlineStr">
        <is>
          <t>£ per learner a year</t>
        </is>
      </c>
      <c r="F89" s="34" t="n"/>
      <c r="G89" s="34" t="n">
        <v>796.7413</v>
      </c>
      <c r="H89" s="34" t="n"/>
      <c r="I89" s="34" t="inlineStr"/>
      <c r="J89" s="34" t="n">
        <v>6</v>
      </c>
      <c r="K89" s="9" t="n"/>
      <c r="L89" s="9" t="n"/>
      <c r="M89" s="9" t="n"/>
      <c r="N89" s="36">
        <f>IF(K89&lt;&gt;"",K89,IF(I89="high",IF(H89="",G89,H89),IF(I89="low",IF(F89="",G89,F89),G89)))</f>
        <v/>
      </c>
      <c r="O89" s="36">
        <f>IF(K89&lt;&gt;"",K89,G89)</f>
        <v/>
      </c>
      <c r="P89" s="36">
        <f>IF(K89&lt;&gt;"",K89,IF(I89="high",IF(F89="",G89,F89),IF(I89="low",IF(H89="",G89,H89),G89)))</f>
        <v/>
      </c>
      <c r="Q89" s="36">
        <f>IF(M89&lt;&gt;"",M89,J89)</f>
        <v/>
      </c>
      <c r="R89" s="37" t="inlineStr">
        <is>
          <t>GMCA Unit Cost Database v3.0</t>
        </is>
      </c>
      <c r="S89" s="37" t="inlineStr">
        <is>
          <t>November 2025 (2025/26 prices; 2010/11 base)</t>
        </is>
      </c>
      <c r="T89" s="37" t="inlineStr">
        <is>
          <t>E&amp;S5.0, fiscal plus economic updated values</t>
        </is>
      </c>
      <c r="U89" s="37" t="inlineStr">
        <is>
          <t>NVQ Level 2 qualification - annual fiscal and economic benefits</t>
        </is>
      </c>
      <c r="V89" s="37" t="inlineStr">
        <is>
          <t>RAG red. Fiscal £123 plus economic £658 (2025/26). Earnings value that overlaps GVA, so never in a ratio</t>
        </is>
      </c>
      <c r="W89" s="38" t="inlineStr">
        <is>
          <t>Open source</t>
        </is>
      </c>
    </row>
    <row r="90">
      <c r="A90" s="34" t="inlineStr">
        <is>
          <t>S11</t>
        </is>
      </c>
      <c r="B90" s="34" t="inlineStr">
        <is>
          <t>Social value</t>
        </is>
      </c>
      <c r="C90" s="35" t="inlineStr">
        <is>
          <t>Accredited Level 3 qualification (sensitivity only)</t>
        </is>
      </c>
      <c r="D90" s="35" t="inlineStr">
        <is>
          <t>S9, Sensitivity sheet</t>
        </is>
      </c>
      <c r="E90" s="34" t="inlineStr">
        <is>
          <t>£ per learner a year</t>
        </is>
      </c>
      <c r="F90" s="34" t="n"/>
      <c r="G90" s="34" t="n">
        <v>2173.116</v>
      </c>
      <c r="H90" s="34" t="n"/>
      <c r="I90" s="34" t="inlineStr"/>
      <c r="J90" s="34" t="n">
        <v>6</v>
      </c>
      <c r="K90" s="9" t="n"/>
      <c r="L90" s="9" t="n"/>
      <c r="M90" s="9" t="n"/>
      <c r="N90" s="36">
        <f>IF(K90&lt;&gt;"",K90,IF(I90="high",IF(H90="",G90,H90),IF(I90="low",IF(F90="",G90,F90),G90)))</f>
        <v/>
      </c>
      <c r="O90" s="36">
        <f>IF(K90&lt;&gt;"",K90,G90)</f>
        <v/>
      </c>
      <c r="P90" s="36">
        <f>IF(K90&lt;&gt;"",K90,IF(I90="high",IF(F90="",G90,F90),IF(I90="low",IF(H90="",G90,H90),G90)))</f>
        <v/>
      </c>
      <c r="Q90" s="36">
        <f>IF(M90&lt;&gt;"",M90,J90)</f>
        <v/>
      </c>
      <c r="R90" s="37" t="inlineStr">
        <is>
          <t>GMCA Unit Cost Database v3.0</t>
        </is>
      </c>
      <c r="S90" s="37" t="inlineStr">
        <is>
          <t>November 2025 (2025/26 prices; 2010/11 base)</t>
        </is>
      </c>
      <c r="T90" s="37" t="inlineStr">
        <is>
          <t>E&amp;S12.0, fiscal plus economic updated values</t>
        </is>
      </c>
      <c r="U90" s="37" t="inlineStr">
        <is>
          <t>NVQ Level 3 qualification - annual fiscal and economic benefits</t>
        </is>
      </c>
      <c r="V90" s="37" t="inlineStr">
        <is>
          <t>RAG red. Fiscal £762 plus economic £1,368 (2025/26). Never in a ratio</t>
        </is>
      </c>
      <c r="W90" s="38" t="inlineStr">
        <is>
          <t>Open source</t>
        </is>
      </c>
    </row>
    <row r="91">
      <c r="A91" s="34" t="inlineStr">
        <is>
          <t>D1</t>
        </is>
      </c>
      <c r="B91" s="34" t="inlineStr">
        <is>
          <t>Counting rules</t>
        </is>
      </c>
      <c r="C91" s="35" t="inlineStr">
        <is>
          <t>Spend inside the unit</t>
        </is>
      </c>
      <c r="D91" s="35" t="inlineStr">
        <is>
          <t>Visitor stream</t>
        </is>
      </c>
      <c r="E91" s="34" t="inlineStr">
        <is>
          <t>rule</t>
        </is>
      </c>
      <c r="F91" s="34" t="n"/>
      <c r="G91" s="34" t="inlineStr">
        <is>
          <t>Excluded from visitor spend</t>
        </is>
      </c>
      <c r="H91" s="34" t="n"/>
      <c r="I91" s="34" t="inlineStr"/>
      <c r="J91" s="34" t="inlineStr">
        <is>
          <t>Rule</t>
        </is>
      </c>
      <c r="K91" s="9" t="n"/>
      <c r="L91" s="9" t="n"/>
      <c r="M91" s="9" t="n"/>
      <c r="N91" s="36">
        <f>IF(K91&lt;&gt;"",K91,IF(I91="high",IF(H91="",G91,H91),IF(I91="low",IF(F91="",G91,F91),G91)))</f>
        <v/>
      </c>
      <c r="O91" s="36">
        <f>IF(K91&lt;&gt;"",K91,G91)</f>
        <v/>
      </c>
      <c r="P91" s="36">
        <f>IF(K91&lt;&gt;"",K91,IF(I91="high",IF(F91="",G91,F91),IF(I91="low",IF(H91="",G91,H91),G91)))</f>
        <v/>
      </c>
      <c r="Q91" s="36">
        <f>IF(M91&lt;&gt;"",M91,J91)</f>
        <v/>
      </c>
      <c r="R91" s="37" t="inlineStr">
        <is>
          <t>Agreed design (decision 15)</t>
        </is>
      </c>
      <c r="S91" s="37" t="inlineStr"/>
      <c r="T91" s="37" t="inlineStr"/>
      <c r="U91" s="37" t="inlineStr"/>
      <c r="V91" s="37" t="inlineStr">
        <is>
          <t>Spend in the unit is already in the unit's GVA. Only extra visitors' spend elsewhere in the centre counts in the visitor stream</t>
        </is>
      </c>
      <c r="W91" s="36" t="n"/>
    </row>
    <row r="92">
      <c r="A92" s="34" t="inlineStr">
        <is>
          <t>D2</t>
        </is>
      </c>
      <c r="B92" s="34" t="inlineStr">
        <is>
          <t>Counting rules</t>
        </is>
      </c>
      <c r="C92" s="35" t="inlineStr">
        <is>
          <t>One wellbeing value per person</t>
        </is>
      </c>
      <c r="D92" s="35" t="inlineStr">
        <is>
          <t>Social value streams</t>
        </is>
      </c>
      <c r="E92" s="34" t="inlineStr">
        <is>
          <t>rule</t>
        </is>
      </c>
      <c r="F92" s="34" t="n"/>
      <c r="G92" s="34" t="inlineStr">
        <is>
          <t>Each person counted once</t>
        </is>
      </c>
      <c r="H92" s="34" t="n"/>
      <c r="I92" s="34" t="inlineStr"/>
      <c r="J92" s="34" t="inlineStr">
        <is>
          <t>Rule</t>
        </is>
      </c>
      <c r="K92" s="9" t="n"/>
      <c r="L92" s="9" t="n"/>
      <c r="M92" s="9" t="n"/>
      <c r="N92" s="36">
        <f>IF(K92&lt;&gt;"",K92,IF(I92="high",IF(H92="",G92,H92),IF(I92="low",IF(F92="",G92,F92),G92)))</f>
        <v/>
      </c>
      <c r="O92" s="36">
        <f>IF(K92&lt;&gt;"",K92,G92)</f>
        <v/>
      </c>
      <c r="P92" s="36">
        <f>IF(K92&lt;&gt;"",K92,IF(I92="high",IF(F92="",G92,F92),IF(I92="low",IF(H92="",G92,H92),G92)))</f>
        <v/>
      </c>
      <c r="Q92" s="36">
        <f>IF(M92&lt;&gt;"",M92,J92)</f>
        <v/>
      </c>
      <c r="R92" s="37" t="inlineStr">
        <is>
          <t>HM Treasury, Wellbeing Guidance for Appraisal (2021)</t>
        </is>
      </c>
      <c r="S92" s="37" t="inlineStr">
        <is>
          <t>July 2021</t>
        </is>
      </c>
      <c r="T92" s="37" t="inlineStr">
        <is>
          <t>4.6, avoiding double counting</t>
        </is>
      </c>
      <c r="U92" s="37" t="inlineStr">
        <is>
          <t>it would be double counting to include any 'ongoing wellbeing impacts' from volunteering</t>
        </is>
      </c>
      <c r="V92" s="37" t="inlineStr">
        <is>
          <t>A person moving into a job takes S2 only; a volunteer takes S1 only; a participant takes S5 only. Workers in the unit (makers, staff) count as jobs, not as S5 participants</t>
        </is>
      </c>
      <c r="W92" s="38" t="inlineStr">
        <is>
          <t>Open source</t>
        </is>
      </c>
    </row>
    <row r="93">
      <c r="A93" s="34" t="inlineStr">
        <is>
          <t>D3</t>
        </is>
      </c>
      <c r="B93" s="34" t="inlineStr">
        <is>
          <t>Counting rules</t>
        </is>
      </c>
      <c r="C93" s="35" t="inlineStr">
        <is>
          <t>Transfers</t>
        </is>
      </c>
      <c r="D93" s="35" t="inlineStr">
        <is>
          <t>Cost and benefit lines</t>
        </is>
      </c>
      <c r="E93" s="34" t="inlineStr">
        <is>
          <t>rule</t>
        </is>
      </c>
      <c r="F93" s="34" t="n"/>
      <c r="G93" s="34" t="inlineStr">
        <is>
          <t>Rates relief, grants and rent counted with offsetting entries</t>
        </is>
      </c>
      <c r="H93" s="34" t="n"/>
      <c r="I93" s="34" t="inlineStr"/>
      <c r="J93" s="34" t="inlineStr">
        <is>
          <t>Rule</t>
        </is>
      </c>
      <c r="K93" s="9" t="n"/>
      <c r="L93" s="9" t="n"/>
      <c r="M93" s="9" t="n"/>
      <c r="N93" s="36">
        <f>IF(K93&lt;&gt;"",K93,IF(I93="high",IF(H93="",G93,H93),IF(I93="low",IF(F93="",G93,F93),G93)))</f>
        <v/>
      </c>
      <c r="O93" s="36">
        <f>IF(K93&lt;&gt;"",K93,G93)</f>
        <v/>
      </c>
      <c r="P93" s="36">
        <f>IF(K93&lt;&gt;"",K93,IF(I93="high",IF(F93="",G93,F93),IF(I93="low",IF(H93="",G93,H93),G93)))</f>
        <v/>
      </c>
      <c r="Q93" s="36">
        <f>IF(M93&lt;&gt;"",M93,J93)</f>
        <v/>
      </c>
      <c r="R93" s="37" t="inlineStr">
        <is>
          <t>MHCLG Appraisal Guide, 4th edition; Green Book 2026</t>
        </is>
      </c>
      <c r="S93" s="37" t="inlineStr">
        <is>
          <t>February 2026</t>
        </is>
      </c>
      <c r="T93" s="37" t="inlineStr">
        <is>
          <t>3.34 and footnote 15; Green Book 6.33 to 6.38</t>
        </is>
      </c>
      <c r="U93" s="37" t="inlineStr"/>
      <c r="V93" s="37" t="inlineStr">
        <is>
          <t>Decision 12. Rows B3, B5, B6 and V4</t>
        </is>
      </c>
      <c r="W93" s="38" t="inlineStr">
        <is>
          <t>Open source</t>
        </is>
      </c>
    </row>
    <row r="94">
      <c r="A94" s="34" t="inlineStr">
        <is>
          <t>L1</t>
        </is>
      </c>
      <c r="B94" s="34" t="inlineStr">
        <is>
          <t>Legacy (off by default)</t>
        </is>
      </c>
      <c r="C94" s="35" t="inlineStr">
        <is>
          <t>Persistence: image, events and tourism</t>
        </is>
      </c>
      <c r="D94" s="35" t="inlineStr">
        <is>
          <t>Legacy switch</t>
        </is>
      </c>
      <c r="E94" s="34" t="inlineStr">
        <is>
          <t>years</t>
        </is>
      </c>
      <c r="F94" s="34" t="n"/>
      <c r="G94" s="34" t="n">
        <v>2</v>
      </c>
      <c r="H94" s="34" t="n"/>
      <c r="I94" s="34" t="inlineStr"/>
      <c r="J94" s="34" t="n">
        <v>6</v>
      </c>
      <c r="K94" s="9" t="n"/>
      <c r="L94" s="9" t="n"/>
      <c r="M94" s="9" t="n"/>
      <c r="N94" s="36">
        <f>IF(K94&lt;&gt;"",K94,IF(I94="high",IF(H94="",G94,H94),IF(I94="low",IF(F94="",G94,F94),G94)))</f>
        <v/>
      </c>
      <c r="O94" s="36">
        <f>IF(K94&lt;&gt;"",K94,G94)</f>
        <v/>
      </c>
      <c r="P94" s="36">
        <f>IF(K94&lt;&gt;"",K94,IF(I94="high",IF(F94="",G94,F94),IF(I94="low",IF(H94="",G94,H94),G94)))</f>
        <v/>
      </c>
      <c r="Q94" s="36">
        <f>IF(M94&lt;&gt;"",M94,J94)</f>
        <v/>
      </c>
      <c r="R94" s="37" t="inlineStr">
        <is>
          <t>HCA Additionality Guide, 4th edition</t>
        </is>
      </c>
      <c r="S94" s="37" t="inlineStr">
        <is>
          <t>2014</t>
        </is>
      </c>
      <c r="T94" s="37" t="inlineStr">
        <is>
          <t>Table 5.19 (BIS IEF+)</t>
        </is>
      </c>
      <c r="U94" s="37" t="inlineStr">
        <is>
          <t>image, events and tourism 2 (table cell)</t>
        </is>
      </c>
      <c r="V94" s="37" t="inlineStr"/>
      <c r="W94" s="38" t="inlineStr">
        <is>
          <t>Open source</t>
        </is>
      </c>
    </row>
    <row r="95">
      <c r="A95" s="34" t="inlineStr">
        <is>
          <t>L2</t>
        </is>
      </c>
      <c r="B95" s="34" t="inlineStr">
        <is>
          <t>Legacy (off by default)</t>
        </is>
      </c>
      <c r="C95" s="35" t="inlineStr">
        <is>
          <t>Persistence: bringing land or buildings back into use</t>
        </is>
      </c>
      <c r="D95" s="35" t="inlineStr">
        <is>
          <t>Legacy switch, permanent let only</t>
        </is>
      </c>
      <c r="E95" s="34" t="inlineStr">
        <is>
          <t>years</t>
        </is>
      </c>
      <c r="F95" s="34" t="n"/>
      <c r="G95" s="34" t="n">
        <v>10</v>
      </c>
      <c r="H95" s="34" t="n"/>
      <c r="I95" s="34" t="inlineStr"/>
      <c r="J95" s="34" t="n">
        <v>6</v>
      </c>
      <c r="K95" s="9" t="n"/>
      <c r="L95" s="9" t="n"/>
      <c r="M95" s="9" t="n"/>
      <c r="N95" s="36">
        <f>IF(K95&lt;&gt;"",K95,IF(I95="high",IF(H95="",G95,H95),IF(I95="low",IF(F95="",G95,F95),G95)))</f>
        <v/>
      </c>
      <c r="O95" s="36">
        <f>IF(K95&lt;&gt;"",K95,G95)</f>
        <v/>
      </c>
      <c r="P95" s="36">
        <f>IF(K95&lt;&gt;"",K95,IF(I95="high",IF(F95="",G95,F95),IF(I95="low",IF(H95="",G95,H95),G95)))</f>
        <v/>
      </c>
      <c r="Q95" s="36">
        <f>IF(M95&lt;&gt;"",M95,J95)</f>
        <v/>
      </c>
      <c r="R95" s="37" t="inlineStr">
        <is>
          <t>HCA Additionality Guide, 4th edition</t>
        </is>
      </c>
      <c r="S95" s="37" t="inlineStr">
        <is>
          <t>2014</t>
        </is>
      </c>
      <c r="T95" s="37" t="inlineStr">
        <is>
          <t>Table 5.19</t>
        </is>
      </c>
      <c r="U95" s="37" t="inlineStr">
        <is>
          <t>bringing land back into use 10 (table cell)</t>
        </is>
      </c>
      <c r="V95" s="37" t="inlineStr"/>
      <c r="W95" s="38" t="inlineStr">
        <is>
          <t>Open source</t>
        </is>
      </c>
    </row>
    <row r="96">
      <c r="A96" s="34" t="inlineStr">
        <is>
          <t>L3</t>
        </is>
      </c>
      <c r="B96" s="34" t="inlineStr">
        <is>
          <t>Legacy (off by default)</t>
        </is>
      </c>
      <c r="C96" s="35" t="inlineStr">
        <is>
          <t>Chance the meanwhile use converts to a permanent let</t>
        </is>
      </c>
      <c r="D96" s="35" t="inlineStr">
        <is>
          <t>Legacy switch</t>
        </is>
      </c>
      <c r="E96" s="34" t="inlineStr">
        <is>
          <t>%</t>
        </is>
      </c>
      <c r="F96" s="34" t="n"/>
      <c r="G96" s="34" t="inlineStr">
        <is>
          <t>User input</t>
        </is>
      </c>
      <c r="H96" s="34" t="n"/>
      <c r="I96" s="34" t="inlineStr"/>
      <c r="J96" s="34" t="n">
        <v>6</v>
      </c>
      <c r="K96" s="9" t="n"/>
      <c r="L96" s="9" t="n"/>
      <c r="M96" s="9" t="n"/>
      <c r="N96" s="36">
        <f>IF(K96&lt;&gt;"",K96,IF(I96="high",IF(H96="",G96,H96),IF(I96="low",IF(F96="",G96,F96),G96)))</f>
        <v/>
      </c>
      <c r="O96" s="36">
        <f>IF(K96&lt;&gt;"",K96,G96)</f>
        <v/>
      </c>
      <c r="P96" s="36">
        <f>IF(K96&lt;&gt;"",K96,IF(I96="high",IF(F96="",G96,F96),IF(I96="low",IF(H96="",G96,H96),G96)))</f>
        <v/>
      </c>
      <c r="Q96" s="36">
        <f>IF(M96&lt;&gt;"",M96,J96)</f>
        <v/>
      </c>
      <c r="R96" s="37" t="inlineStr">
        <is>
          <t>No robust evidence found</t>
        </is>
      </c>
      <c r="S96" s="37" t="inlineStr"/>
      <c r="T96" s="37" t="inlineStr"/>
      <c r="U96" s="37" t="inlineStr"/>
      <c r="V96" s="37" t="inlineStr">
        <is>
          <t>Open Doors: 'little evidence to suggest that the groups would be able to take on the spaces independently'</t>
        </is>
      </c>
      <c r="W96" s="36" t="n"/>
    </row>
    <row r="97">
      <c r="A97" s="34" t="inlineStr">
        <is>
          <t>P1</t>
        </is>
      </c>
      <c r="B97" s="34" t="inlineStr">
        <is>
          <t>Place and location</t>
        </is>
      </c>
      <c r="C97" s="35" t="inlineStr">
        <is>
          <t>Centre hierarchy</t>
        </is>
      </c>
      <c r="D97" s="35" t="inlineStr">
        <is>
          <t>Location input</t>
        </is>
      </c>
      <c r="E97" s="34" t="inlineStr">
        <is>
          <t>tier</t>
        </is>
      </c>
      <c r="F97" s="34" t="n"/>
      <c r="G97" s="34" t="inlineStr">
        <is>
          <t>Gateshead Primary Shopping Area; District Centre (8); Local Centre (15); outside the hierarchy (parades and single shops)</t>
        </is>
      </c>
      <c r="H97" s="34" t="n"/>
      <c r="I97" s="34" t="inlineStr"/>
      <c r="J97" s="34" t="inlineStr">
        <is>
          <t>Rule</t>
        </is>
      </c>
      <c r="K97" s="9" t="n"/>
      <c r="L97" s="9" t="n"/>
      <c r="M97" s="9" t="n"/>
      <c r="N97" s="36">
        <f>IF(K97&lt;&gt;"",K97,IF(I97="high",IF(H97="",G97,H97),IF(I97="low",IF(F97="",G97,F97),G97)))</f>
        <v/>
      </c>
      <c r="O97" s="36">
        <f>IF(K97&lt;&gt;"",K97,G97)</f>
        <v/>
      </c>
      <c r="P97" s="36">
        <f>IF(K97&lt;&gt;"",K97,IF(I97="high",IF(F97="",G97,F97),IF(I97="low",IF(H97="",G97,H97),G97)))</f>
        <v/>
      </c>
      <c r="Q97" s="36">
        <f>IF(M97&lt;&gt;"",M97,J97)</f>
        <v/>
      </c>
      <c r="R97" s="37" t="inlineStr">
        <is>
          <t>Core Strategy and Urban Core Plan for Gateshead and Newcastle 2010-2030, Policy CS7</t>
        </is>
      </c>
      <c r="S97" s="37" t="inlineStr">
        <is>
          <t>Adopted March 2015 (in force; new joint plan to 2045 under preparation)</t>
        </is>
      </c>
      <c r="T97" s="37" t="inlineStr">
        <is>
          <t>Policy CS7 part 1</t>
        </is>
      </c>
      <c r="U97" s="37" t="inlineStr">
        <is>
          <t>In Gateshead (Figure 9.1b): 1) Blaydon, 2) Birtley, 3) Coatsworth Road, 4) Felling, 5) Low Fell, 6) Ryton, 7) Whickham and 8) Wrekenton.</t>
        </is>
      </c>
      <c r="V97" s="37" t="inlineStr">
        <is>
          <t>Label and place scorecard input only (Phase 1b decision 4); the let-anyway chance (B1) uses the council's vacancy figures for the centre where held. Metrocentre is an 'existing out-of-centre regional shopping destination' (CS7 part 5), excluded. Refresh when the joint Retail and Town Centre Study reports</t>
        </is>
      </c>
      <c r="W97" s="38" t="inlineStr">
        <is>
          <t>Open source</t>
        </is>
      </c>
    </row>
    <row r="98">
      <c r="A98" s="34" t="inlineStr">
        <is>
          <t>P2</t>
        </is>
      </c>
      <c r="B98" s="34" t="inlineStr">
        <is>
          <t>Place and location</t>
        </is>
      </c>
      <c r="C98" s="35" t="inlineStr">
        <is>
          <t>Seven-point place scale</t>
        </is>
      </c>
      <c r="D98" s="35" t="inlineStr">
        <is>
          <t>Place scorecard</t>
        </is>
      </c>
      <c r="E98" s="34" t="inlineStr">
        <is>
          <t>scale</t>
        </is>
      </c>
      <c r="F98" s="34" t="n"/>
      <c r="G98" s="34" t="inlineStr">
        <is>
          <t>Large Adverse to Large Beneficial</t>
        </is>
      </c>
      <c r="H98" s="34" t="n"/>
      <c r="I98" s="34" t="inlineStr"/>
      <c r="J98" s="34" t="inlineStr">
        <is>
          <t>Rule</t>
        </is>
      </c>
      <c r="K98" s="9" t="n"/>
      <c r="L98" s="9" t="n"/>
      <c r="M98" s="9" t="n"/>
      <c r="N98" s="36">
        <f>IF(K98&lt;&gt;"",K98,IF(I98="high",IF(H98="",G98,H98),IF(I98="low",IF(F98="",G98,F98),G98)))</f>
        <v/>
      </c>
      <c r="O98" s="36">
        <f>IF(K98&lt;&gt;"",K98,G98)</f>
        <v/>
      </c>
      <c r="P98" s="36">
        <f>IF(K98&lt;&gt;"",K98,IF(I98="high",IF(F98="",G98,F98),IF(I98="low",IF(H98="",G98,H98),G98)))</f>
        <v/>
      </c>
      <c r="Q98" s="36">
        <f>IF(M98&lt;&gt;"",M98,J98)</f>
        <v/>
      </c>
      <c r="R98" s="37" t="inlineStr">
        <is>
          <t>MHCLG Appraisal Guide, 4th edition</t>
        </is>
      </c>
      <c r="S98" s="37" t="inlineStr">
        <is>
          <t>February 2026</t>
        </is>
      </c>
      <c r="T98" s="37" t="inlineStr">
        <is>
          <t>3.47 Table 2</t>
        </is>
      </c>
      <c r="U98" s="37" t="inlineStr">
        <is>
          <t>Large Adverse, Moderate Adverse, Slight Adverse, Neutral, Slight Beneficial, Moderate Beneficial, Large Beneficial (scale points)</t>
        </is>
      </c>
      <c r="V98" s="37" t="inlineStr"/>
      <c r="W98" s="38" t="inlineStr">
        <is>
          <t>Open source</t>
        </is>
      </c>
    </row>
    <row r="99">
      <c r="A99" s="34" t="inlineStr">
        <is>
          <t>P3</t>
        </is>
      </c>
      <c r="B99" s="34" t="inlineStr">
        <is>
          <t>Place and location</t>
        </is>
      </c>
      <c r="C99" s="35" t="inlineStr">
        <is>
          <t>Distance over which spillovers were found</t>
        </is>
      </c>
      <c r="D99" s="35" t="inlineStr">
        <is>
          <t>Scorecard wording</t>
        </is>
      </c>
      <c r="E99" s="34" t="inlineStr">
        <is>
          <t>metres</t>
        </is>
      </c>
      <c r="F99" s="34" t="n">
        <v>400</v>
      </c>
      <c r="G99" s="34" t="n"/>
      <c r="H99" s="34" t="n">
        <v>800</v>
      </c>
      <c r="I99" s="34" t="inlineStr"/>
      <c r="J99" s="34" t="n">
        <v>3</v>
      </c>
      <c r="K99" s="9" t="n"/>
      <c r="L99" s="9" t="n"/>
      <c r="M99" s="9" t="n"/>
      <c r="N99" s="36">
        <f>IF(K99&lt;&gt;"",K99,IF(I99="high",IF(H99="",G99,H99),IF(I99="low",IF(F99="",G99,F99),G99)))</f>
        <v/>
      </c>
      <c r="O99" s="36">
        <f>IF(K99&lt;&gt;"",K99,G99)</f>
        <v/>
      </c>
      <c r="P99" s="36">
        <f>IF(K99&lt;&gt;"",K99,IF(I99="high",IF(F99="",G99,F99),IF(I99="low",IF(H99="",G99,H99),G99)))</f>
        <v/>
      </c>
      <c r="Q99" s="36">
        <f>IF(M99&lt;&gt;"",M99,J99)</f>
        <v/>
      </c>
      <c r="R99" s="37" t="inlineStr">
        <is>
          <t>Homes England, Measuring Social Value Paper 8</t>
        </is>
      </c>
      <c r="S99" s="37" t="inlineStr">
        <is>
          <t>24 October 2025</t>
        </is>
      </c>
      <c r="T99" s="37" t="inlineStr">
        <is>
          <t>Foreword and findings</t>
        </is>
      </c>
      <c r="U99" s="37" t="inlineStr">
        <is>
          <t>for the majority of the schemes analysed, there was no consistent evidence of commercial-led regeneration leading to wider placemaking effects</t>
        </is>
      </c>
      <c r="V99" s="37" t="inlineStr"/>
      <c r="W99" s="38" t="inlineStr">
        <is>
          <t>Open source</t>
        </is>
      </c>
    </row>
  </sheetData>
  <sheetProtection selectLockedCells="0" selectUnlockedCells="0" sheet="1" objects="0" insertRows="1" insertHyperlinks="1" autoFilter="0" scenarios="0" formatColumns="1" deleteColumns="1" insertColumns="1" pivotTables="1" deleteRows="1" formatCells="1" formatRows="1" sort="1" password="CC85"/>
  <autoFilter ref="A4:W99"/>
  <hyperlinks>
    <hyperlink xmlns:r="http://schemas.openxmlformats.org/officeDocument/2006/relationships" ref="W5" r:id="rId1"/>
    <hyperlink xmlns:r="http://schemas.openxmlformats.org/officeDocument/2006/relationships" ref="W6" r:id="rId2"/>
    <hyperlink xmlns:r="http://schemas.openxmlformats.org/officeDocument/2006/relationships" ref="W7" r:id="rId3"/>
    <hyperlink xmlns:r="http://schemas.openxmlformats.org/officeDocument/2006/relationships" ref="W8" r:id="rId4"/>
    <hyperlink xmlns:r="http://schemas.openxmlformats.org/officeDocument/2006/relationships" ref="W9" r:id="rId5"/>
    <hyperlink xmlns:r="http://schemas.openxmlformats.org/officeDocument/2006/relationships" ref="W10" r:id="rId6"/>
    <hyperlink xmlns:r="http://schemas.openxmlformats.org/officeDocument/2006/relationships" ref="W11" r:id="rId7"/>
    <hyperlink xmlns:r="http://schemas.openxmlformats.org/officeDocument/2006/relationships" ref="W12" r:id="rId8"/>
    <hyperlink xmlns:r="http://schemas.openxmlformats.org/officeDocument/2006/relationships" ref="W13" r:id="rId9"/>
    <hyperlink xmlns:r="http://schemas.openxmlformats.org/officeDocument/2006/relationships" ref="W14" r:id="rId10"/>
    <hyperlink xmlns:r="http://schemas.openxmlformats.org/officeDocument/2006/relationships" ref="W15" r:id="rId11"/>
    <hyperlink xmlns:r="http://schemas.openxmlformats.org/officeDocument/2006/relationships" ref="W16" r:id="rId12"/>
    <hyperlink xmlns:r="http://schemas.openxmlformats.org/officeDocument/2006/relationships" ref="W17" r:id="rId13"/>
    <hyperlink xmlns:r="http://schemas.openxmlformats.org/officeDocument/2006/relationships" ref="W18" r:id="rId14"/>
    <hyperlink xmlns:r="http://schemas.openxmlformats.org/officeDocument/2006/relationships" ref="W19" r:id="rId15"/>
    <hyperlink xmlns:r="http://schemas.openxmlformats.org/officeDocument/2006/relationships" ref="W20" r:id="rId16"/>
    <hyperlink xmlns:r="http://schemas.openxmlformats.org/officeDocument/2006/relationships" ref="W21" r:id="rId17"/>
    <hyperlink xmlns:r="http://schemas.openxmlformats.org/officeDocument/2006/relationships" ref="W22" r:id="rId18"/>
    <hyperlink xmlns:r="http://schemas.openxmlformats.org/officeDocument/2006/relationships" ref="W23" r:id="rId19"/>
    <hyperlink xmlns:r="http://schemas.openxmlformats.org/officeDocument/2006/relationships" ref="W24" r:id="rId20"/>
    <hyperlink xmlns:r="http://schemas.openxmlformats.org/officeDocument/2006/relationships" ref="W25" r:id="rId21"/>
    <hyperlink xmlns:r="http://schemas.openxmlformats.org/officeDocument/2006/relationships" ref="W26" r:id="rId22"/>
    <hyperlink xmlns:r="http://schemas.openxmlformats.org/officeDocument/2006/relationships" ref="W27" r:id="rId23"/>
    <hyperlink xmlns:r="http://schemas.openxmlformats.org/officeDocument/2006/relationships" ref="W28" r:id="rId24"/>
    <hyperlink xmlns:r="http://schemas.openxmlformats.org/officeDocument/2006/relationships" ref="W29" r:id="rId25"/>
    <hyperlink xmlns:r="http://schemas.openxmlformats.org/officeDocument/2006/relationships" ref="W31" r:id="rId26"/>
    <hyperlink xmlns:r="http://schemas.openxmlformats.org/officeDocument/2006/relationships" ref="W33" r:id="rId27"/>
    <hyperlink xmlns:r="http://schemas.openxmlformats.org/officeDocument/2006/relationships" ref="W34" r:id="rId28"/>
    <hyperlink xmlns:r="http://schemas.openxmlformats.org/officeDocument/2006/relationships" ref="W35" r:id="rId29"/>
    <hyperlink xmlns:r="http://schemas.openxmlformats.org/officeDocument/2006/relationships" ref="W36" r:id="rId30"/>
    <hyperlink xmlns:r="http://schemas.openxmlformats.org/officeDocument/2006/relationships" ref="W37" r:id="rId31"/>
    <hyperlink xmlns:r="http://schemas.openxmlformats.org/officeDocument/2006/relationships" ref="W38" r:id="rId32"/>
    <hyperlink xmlns:r="http://schemas.openxmlformats.org/officeDocument/2006/relationships" ref="W39" r:id="rId33"/>
    <hyperlink xmlns:r="http://schemas.openxmlformats.org/officeDocument/2006/relationships" ref="W40" r:id="rId34"/>
    <hyperlink xmlns:r="http://schemas.openxmlformats.org/officeDocument/2006/relationships" ref="W41" r:id="rId35"/>
    <hyperlink xmlns:r="http://schemas.openxmlformats.org/officeDocument/2006/relationships" ref="W42" r:id="rId36"/>
    <hyperlink xmlns:r="http://schemas.openxmlformats.org/officeDocument/2006/relationships" ref="W43" r:id="rId37"/>
    <hyperlink xmlns:r="http://schemas.openxmlformats.org/officeDocument/2006/relationships" ref="W44" r:id="rId38"/>
    <hyperlink xmlns:r="http://schemas.openxmlformats.org/officeDocument/2006/relationships" ref="W45" r:id="rId39"/>
    <hyperlink xmlns:r="http://schemas.openxmlformats.org/officeDocument/2006/relationships" ref="W46" r:id="rId40"/>
    <hyperlink xmlns:r="http://schemas.openxmlformats.org/officeDocument/2006/relationships" ref="W47" r:id="rId41"/>
    <hyperlink xmlns:r="http://schemas.openxmlformats.org/officeDocument/2006/relationships" ref="W48" r:id="rId42"/>
    <hyperlink xmlns:r="http://schemas.openxmlformats.org/officeDocument/2006/relationships" ref="W49" r:id="rId43"/>
    <hyperlink xmlns:r="http://schemas.openxmlformats.org/officeDocument/2006/relationships" ref="W50" r:id="rId44"/>
    <hyperlink xmlns:r="http://schemas.openxmlformats.org/officeDocument/2006/relationships" ref="W51" r:id="rId45"/>
    <hyperlink xmlns:r="http://schemas.openxmlformats.org/officeDocument/2006/relationships" ref="W52" r:id="rId46"/>
    <hyperlink xmlns:r="http://schemas.openxmlformats.org/officeDocument/2006/relationships" ref="W53" r:id="rId47"/>
    <hyperlink xmlns:r="http://schemas.openxmlformats.org/officeDocument/2006/relationships" ref="W54" r:id="rId48"/>
    <hyperlink xmlns:r="http://schemas.openxmlformats.org/officeDocument/2006/relationships" ref="W55" r:id="rId49"/>
    <hyperlink xmlns:r="http://schemas.openxmlformats.org/officeDocument/2006/relationships" ref="W56" r:id="rId50"/>
    <hyperlink xmlns:r="http://schemas.openxmlformats.org/officeDocument/2006/relationships" ref="W58" r:id="rId51"/>
    <hyperlink xmlns:r="http://schemas.openxmlformats.org/officeDocument/2006/relationships" ref="W59" r:id="rId52"/>
    <hyperlink xmlns:r="http://schemas.openxmlformats.org/officeDocument/2006/relationships" ref="W60" r:id="rId53"/>
    <hyperlink xmlns:r="http://schemas.openxmlformats.org/officeDocument/2006/relationships" ref="W61" r:id="rId54"/>
    <hyperlink xmlns:r="http://schemas.openxmlformats.org/officeDocument/2006/relationships" ref="W62" r:id="rId55"/>
    <hyperlink xmlns:r="http://schemas.openxmlformats.org/officeDocument/2006/relationships" ref="W63" r:id="rId56"/>
    <hyperlink xmlns:r="http://schemas.openxmlformats.org/officeDocument/2006/relationships" ref="W64" r:id="rId57"/>
    <hyperlink xmlns:r="http://schemas.openxmlformats.org/officeDocument/2006/relationships" ref="W65" r:id="rId58"/>
    <hyperlink xmlns:r="http://schemas.openxmlformats.org/officeDocument/2006/relationships" ref="W66" r:id="rId59"/>
    <hyperlink xmlns:r="http://schemas.openxmlformats.org/officeDocument/2006/relationships" ref="W67" r:id="rId60"/>
    <hyperlink xmlns:r="http://schemas.openxmlformats.org/officeDocument/2006/relationships" ref="W68" r:id="rId61"/>
    <hyperlink xmlns:r="http://schemas.openxmlformats.org/officeDocument/2006/relationships" ref="W69" r:id="rId62"/>
    <hyperlink xmlns:r="http://schemas.openxmlformats.org/officeDocument/2006/relationships" ref="W70" r:id="rId63"/>
    <hyperlink xmlns:r="http://schemas.openxmlformats.org/officeDocument/2006/relationships" ref="W71" r:id="rId64"/>
    <hyperlink xmlns:r="http://schemas.openxmlformats.org/officeDocument/2006/relationships" ref="W72" r:id="rId65"/>
    <hyperlink xmlns:r="http://schemas.openxmlformats.org/officeDocument/2006/relationships" ref="W73" r:id="rId66"/>
    <hyperlink xmlns:r="http://schemas.openxmlformats.org/officeDocument/2006/relationships" ref="W74" r:id="rId67"/>
    <hyperlink xmlns:r="http://schemas.openxmlformats.org/officeDocument/2006/relationships" ref="W75" r:id="rId68"/>
    <hyperlink xmlns:r="http://schemas.openxmlformats.org/officeDocument/2006/relationships" ref="W76" r:id="rId69"/>
    <hyperlink xmlns:r="http://schemas.openxmlformats.org/officeDocument/2006/relationships" ref="W77" r:id="rId70"/>
    <hyperlink xmlns:r="http://schemas.openxmlformats.org/officeDocument/2006/relationships" ref="W78" r:id="rId71"/>
    <hyperlink xmlns:r="http://schemas.openxmlformats.org/officeDocument/2006/relationships" ref="W79" r:id="rId72"/>
    <hyperlink xmlns:r="http://schemas.openxmlformats.org/officeDocument/2006/relationships" ref="W80" r:id="rId73"/>
    <hyperlink xmlns:r="http://schemas.openxmlformats.org/officeDocument/2006/relationships" ref="W81" r:id="rId74"/>
    <hyperlink xmlns:r="http://schemas.openxmlformats.org/officeDocument/2006/relationships" ref="W82" r:id="rId75"/>
    <hyperlink xmlns:r="http://schemas.openxmlformats.org/officeDocument/2006/relationships" ref="W83" r:id="rId76"/>
    <hyperlink xmlns:r="http://schemas.openxmlformats.org/officeDocument/2006/relationships" ref="W84" r:id="rId77"/>
    <hyperlink xmlns:r="http://schemas.openxmlformats.org/officeDocument/2006/relationships" ref="W85" r:id="rId78"/>
    <hyperlink xmlns:r="http://schemas.openxmlformats.org/officeDocument/2006/relationships" ref="W86" r:id="rId79"/>
    <hyperlink xmlns:r="http://schemas.openxmlformats.org/officeDocument/2006/relationships" ref="W87" r:id="rId80"/>
    <hyperlink xmlns:r="http://schemas.openxmlformats.org/officeDocument/2006/relationships" ref="W88" r:id="rId81"/>
    <hyperlink xmlns:r="http://schemas.openxmlformats.org/officeDocument/2006/relationships" ref="W89" r:id="rId82"/>
    <hyperlink xmlns:r="http://schemas.openxmlformats.org/officeDocument/2006/relationships" ref="W90" r:id="rId83"/>
    <hyperlink xmlns:r="http://schemas.openxmlformats.org/officeDocument/2006/relationships" ref="W92" r:id="rId84"/>
    <hyperlink xmlns:r="http://schemas.openxmlformats.org/officeDocument/2006/relationships" ref="W93" r:id="rId85"/>
    <hyperlink xmlns:r="http://schemas.openxmlformats.org/officeDocument/2006/relationships" ref="W94" r:id="rId86"/>
    <hyperlink xmlns:r="http://schemas.openxmlformats.org/officeDocument/2006/relationships" ref="W95" r:id="rId87"/>
    <hyperlink xmlns:r="http://schemas.openxmlformats.org/officeDocument/2006/relationships" ref="W97" r:id="rId88"/>
    <hyperlink xmlns:r="http://schemas.openxmlformats.org/officeDocument/2006/relationships" ref="W98" r:id="rId89"/>
    <hyperlink xmlns:r="http://schemas.openxmlformats.org/officeDocument/2006/relationships" ref="W99" r:id="rId90"/>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127"/>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4" customWidth="1" min="1" max="1"/>
    <col width="50" customWidth="1" min="2" max="2"/>
    <col width="12"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c r="A1" s="1" t="inlineStr">
        <is>
          <t>Calculations</t>
        </is>
      </c>
    </row>
    <row r="2">
      <c r="A2" s="5" t="inlineStr">
        <is>
          <t>Every step for every proposal and scenario. Low takes the pessimistic end of every ranged assumption; high the optimistic end.</t>
        </is>
      </c>
    </row>
    <row r="4">
      <c r="B4" s="6" t="inlineStr">
        <is>
          <t>Step</t>
        </is>
      </c>
      <c r="C4" s="6" t="inlineStr">
        <is>
          <t>Unit</t>
        </is>
      </c>
      <c r="D4" s="6" t="inlineStr">
        <is>
          <t>P1 low</t>
        </is>
      </c>
      <c r="E4" s="6" t="inlineStr">
        <is>
          <t>P1 central</t>
        </is>
      </c>
      <c r="F4" s="6" t="inlineStr">
        <is>
          <t>P1 high</t>
        </is>
      </c>
      <c r="G4" s="6" t="inlineStr">
        <is>
          <t>P2 low</t>
        </is>
      </c>
      <c r="H4" s="6" t="inlineStr">
        <is>
          <t>P2 central</t>
        </is>
      </c>
      <c r="I4" s="6" t="inlineStr">
        <is>
          <t>P2 high</t>
        </is>
      </c>
      <c r="J4" s="6" t="inlineStr">
        <is>
          <t>P3 low</t>
        </is>
      </c>
      <c r="K4" s="6" t="inlineStr">
        <is>
          <t>P3 central</t>
        </is>
      </c>
      <c r="L4" s="6" t="inlineStr">
        <is>
          <t>P3 high</t>
        </is>
      </c>
      <c r="M4" s="6" t="inlineStr">
        <is>
          <t>P4 low</t>
        </is>
      </c>
      <c r="N4" s="6" t="inlineStr">
        <is>
          <t>P4 central</t>
        </is>
      </c>
      <c r="O4" s="6" t="inlineStr">
        <is>
          <t>P4 high</t>
        </is>
      </c>
      <c r="P4" s="6" t="inlineStr">
        <is>
          <t>P5 low</t>
        </is>
      </c>
      <c r="Q4" s="6" t="inlineStr">
        <is>
          <t>P5 central</t>
        </is>
      </c>
      <c r="R4" s="6" t="inlineStr">
        <is>
          <t>P5 high</t>
        </is>
      </c>
    </row>
    <row r="5">
      <c r="B5" s="7" t="inlineStr">
        <is>
          <t>Time and discounting</t>
        </is>
      </c>
      <c r="D5" s="8" t="n"/>
      <c r="E5" s="8" t="n"/>
      <c r="F5" s="8" t="n"/>
      <c r="G5" s="8" t="n"/>
      <c r="H5" s="8" t="n"/>
      <c r="I5" s="8" t="n"/>
      <c r="J5" s="8" t="n"/>
      <c r="K5" s="8" t="n"/>
      <c r="L5" s="8" t="n"/>
      <c r="M5" s="8" t="n"/>
      <c r="N5" s="8" t="n"/>
      <c r="O5" s="8" t="n"/>
      <c r="P5" s="8" t="n"/>
      <c r="Q5" s="8" t="n"/>
      <c r="R5" s="8" t="n"/>
    </row>
    <row r="6">
      <c r="B6" s="4" t="inlineStr">
        <is>
          <t>Proposal entered: use, period and rateable value (1 = yes)</t>
        </is>
      </c>
      <c r="C6" s="5" t="inlineStr"/>
      <c r="D6" s="39">
        <f>IF(AND(Inputs!$C$9&lt;&gt;"",N(Inputs!$C$21)&gt;0,N(Inputs!$C$13)&gt;0),1,0)</f>
        <v/>
      </c>
      <c r="E6" s="39">
        <f>IF(AND(Inputs!$C$9&lt;&gt;"",N(Inputs!$C$21)&gt;0,N(Inputs!$C$13)&gt;0),1,0)</f>
        <v/>
      </c>
      <c r="F6" s="39">
        <f>IF(AND(Inputs!$C$9&lt;&gt;"",N(Inputs!$C$21)&gt;0,N(Inputs!$C$13)&gt;0),1,0)</f>
        <v/>
      </c>
      <c r="G6" s="39">
        <f>IF(AND(Inputs!$D$9&lt;&gt;"",N(Inputs!$D$21)&gt;0,N(Inputs!$D$13)&gt;0),1,0)</f>
        <v/>
      </c>
      <c r="H6" s="39">
        <f>IF(AND(Inputs!$D$9&lt;&gt;"",N(Inputs!$D$21)&gt;0,N(Inputs!$D$13)&gt;0),1,0)</f>
        <v/>
      </c>
      <c r="I6" s="39">
        <f>IF(AND(Inputs!$D$9&lt;&gt;"",N(Inputs!$D$21)&gt;0,N(Inputs!$D$13)&gt;0),1,0)</f>
        <v/>
      </c>
      <c r="J6" s="39">
        <f>IF(AND(Inputs!$E$9&lt;&gt;"",N(Inputs!$E$21)&gt;0,N(Inputs!$E$13)&gt;0),1,0)</f>
        <v/>
      </c>
      <c r="K6" s="39">
        <f>IF(AND(Inputs!$E$9&lt;&gt;"",N(Inputs!$E$21)&gt;0,N(Inputs!$E$13)&gt;0),1,0)</f>
        <v/>
      </c>
      <c r="L6" s="39">
        <f>IF(AND(Inputs!$E$9&lt;&gt;"",N(Inputs!$E$21)&gt;0,N(Inputs!$E$13)&gt;0),1,0)</f>
        <v/>
      </c>
      <c r="M6" s="39">
        <f>IF(AND(Inputs!$F$9&lt;&gt;"",N(Inputs!$F$21)&gt;0,N(Inputs!$F$13)&gt;0),1,0)</f>
        <v/>
      </c>
      <c r="N6" s="39">
        <f>IF(AND(Inputs!$F$9&lt;&gt;"",N(Inputs!$F$21)&gt;0,N(Inputs!$F$13)&gt;0),1,0)</f>
        <v/>
      </c>
      <c r="O6" s="39">
        <f>IF(AND(Inputs!$F$9&lt;&gt;"",N(Inputs!$F$21)&gt;0,N(Inputs!$F$13)&gt;0),1,0)</f>
        <v/>
      </c>
      <c r="P6" s="39">
        <f>IF(AND(Inputs!$G$9&lt;&gt;"",N(Inputs!$G$21)&gt;0,N(Inputs!$G$13)&gt;0),1,0)</f>
        <v/>
      </c>
      <c r="Q6" s="39">
        <f>IF(AND(Inputs!$G$9&lt;&gt;"",N(Inputs!$G$21)&gt;0,N(Inputs!$G$13)&gt;0),1,0)</f>
        <v/>
      </c>
      <c r="R6" s="39">
        <f>IF(AND(Inputs!$G$9&lt;&gt;"",N(Inputs!$G$21)&gt;0,N(Inputs!$G$13)&gt;0),1,0)</f>
        <v/>
      </c>
    </row>
    <row r="7">
      <c r="B7" s="4" t="inlineStr">
        <is>
          <t>Occupation period used (capped at 60 months)</t>
        </is>
      </c>
      <c r="C7" s="5" t="inlineStr">
        <is>
          <t>months</t>
        </is>
      </c>
      <c r="D7" s="40">
        <f>IF(D6=0,"",MIN(60,Inputs!$C$21))</f>
        <v/>
      </c>
      <c r="E7" s="40">
        <f>IF(E6=0,"",MIN(60,Inputs!$C$21))</f>
        <v/>
      </c>
      <c r="F7" s="40">
        <f>IF(F6=0,"",MIN(60,Inputs!$C$21))</f>
        <v/>
      </c>
      <c r="G7" s="40">
        <f>IF(G6=0,"",MIN(60,Inputs!$D$21))</f>
        <v/>
      </c>
      <c r="H7" s="40">
        <f>IF(H6=0,"",MIN(60,Inputs!$D$21))</f>
        <v/>
      </c>
      <c r="I7" s="40">
        <f>IF(I6=0,"",MIN(60,Inputs!$D$21))</f>
        <v/>
      </c>
      <c r="J7" s="40">
        <f>IF(J6=0,"",MIN(60,Inputs!$E$21))</f>
        <v/>
      </c>
      <c r="K7" s="40">
        <f>IF(K6=0,"",MIN(60,Inputs!$E$21))</f>
        <v/>
      </c>
      <c r="L7" s="40">
        <f>IF(L6=0,"",MIN(60,Inputs!$E$21))</f>
        <v/>
      </c>
      <c r="M7" s="40">
        <f>IF(M6=0,"",MIN(60,Inputs!$F$21))</f>
        <v/>
      </c>
      <c r="N7" s="40">
        <f>IF(N6=0,"",MIN(60,Inputs!$F$21))</f>
        <v/>
      </c>
      <c r="O7" s="40">
        <f>IF(O6=0,"",MIN(60,Inputs!$F$21))</f>
        <v/>
      </c>
      <c r="P7" s="40">
        <f>IF(P6=0,"",MIN(60,Inputs!$G$21))</f>
        <v/>
      </c>
      <c r="Q7" s="40">
        <f>IF(Q6=0,"",MIN(60,Inputs!$G$21))</f>
        <v/>
      </c>
      <c r="R7" s="40">
        <f>IF(R6=0,"",MIN(60,Inputs!$G$21))</f>
        <v/>
      </c>
    </row>
    <row r="8">
      <c r="B8" s="4" t="inlineStr">
        <is>
          <t>Occupation period</t>
        </is>
      </c>
      <c r="C8" s="5" t="inlineStr">
        <is>
          <t>years</t>
        </is>
      </c>
      <c r="D8" s="41">
        <f>IF(D6=0,"",D7/12)</f>
        <v/>
      </c>
      <c r="E8" s="41">
        <f>IF(E6=0,"",E7/12)</f>
        <v/>
      </c>
      <c r="F8" s="41">
        <f>IF(F6=0,"",F7/12)</f>
        <v/>
      </c>
      <c r="G8" s="41">
        <f>IF(G6=0,"",G7/12)</f>
        <v/>
      </c>
      <c r="H8" s="41">
        <f>IF(H6=0,"",H7/12)</f>
        <v/>
      </c>
      <c r="I8" s="41">
        <f>IF(I6=0,"",I7/12)</f>
        <v/>
      </c>
      <c r="J8" s="41">
        <f>IF(J6=0,"",J7/12)</f>
        <v/>
      </c>
      <c r="K8" s="41">
        <f>IF(K6=0,"",K7/12)</f>
        <v/>
      </c>
      <c r="L8" s="41">
        <f>IF(L6=0,"",L7/12)</f>
        <v/>
      </c>
      <c r="M8" s="41">
        <f>IF(M6=0,"",M7/12)</f>
        <v/>
      </c>
      <c r="N8" s="41">
        <f>IF(N6=0,"",N7/12)</f>
        <v/>
      </c>
      <c r="O8" s="41">
        <f>IF(O6=0,"",O7/12)</f>
        <v/>
      </c>
      <c r="P8" s="41">
        <f>IF(P6=0,"",P7/12)</f>
        <v/>
      </c>
      <c r="Q8" s="41">
        <f>IF(Q6=0,"",Q7/12)</f>
        <v/>
      </c>
      <c r="R8" s="41">
        <f>IF(R6=0,"",R7/12)</f>
        <v/>
      </c>
    </row>
    <row r="9">
      <c r="B9" s="4" t="inlineStr">
        <is>
          <t>Share of year 0 occupied</t>
        </is>
      </c>
      <c r="C9" s="5" t="inlineStr"/>
      <c r="D9" s="41">
        <f>IF(D6=0,"",MIN(1,MAX(0,D8-0)))</f>
        <v/>
      </c>
      <c r="E9" s="41">
        <f>IF(E6=0,"",MIN(1,MAX(0,E8-0)))</f>
        <v/>
      </c>
      <c r="F9" s="41">
        <f>IF(F6=0,"",MIN(1,MAX(0,F8-0)))</f>
        <v/>
      </c>
      <c r="G9" s="41">
        <f>IF(G6=0,"",MIN(1,MAX(0,G8-0)))</f>
        <v/>
      </c>
      <c r="H9" s="41">
        <f>IF(H6=0,"",MIN(1,MAX(0,H8-0)))</f>
        <v/>
      </c>
      <c r="I9" s="41">
        <f>IF(I6=0,"",MIN(1,MAX(0,I8-0)))</f>
        <v/>
      </c>
      <c r="J9" s="41">
        <f>IF(J6=0,"",MIN(1,MAX(0,J8-0)))</f>
        <v/>
      </c>
      <c r="K9" s="41">
        <f>IF(K6=0,"",MIN(1,MAX(0,K8-0)))</f>
        <v/>
      </c>
      <c r="L9" s="41">
        <f>IF(L6=0,"",MIN(1,MAX(0,L8-0)))</f>
        <v/>
      </c>
      <c r="M9" s="41">
        <f>IF(M6=0,"",MIN(1,MAX(0,M8-0)))</f>
        <v/>
      </c>
      <c r="N9" s="41">
        <f>IF(N6=0,"",MIN(1,MAX(0,N8-0)))</f>
        <v/>
      </c>
      <c r="O9" s="41">
        <f>IF(O6=0,"",MIN(1,MAX(0,O8-0)))</f>
        <v/>
      </c>
      <c r="P9" s="41">
        <f>IF(P6=0,"",MIN(1,MAX(0,P8-0)))</f>
        <v/>
      </c>
      <c r="Q9" s="41">
        <f>IF(Q6=0,"",MIN(1,MAX(0,Q8-0)))</f>
        <v/>
      </c>
      <c r="R9" s="41">
        <f>IF(R6=0,"",MIN(1,MAX(0,R8-0)))</f>
        <v/>
      </c>
    </row>
    <row r="10">
      <c r="B10" s="4" t="inlineStr">
        <is>
          <t>Share of year 1 occupied</t>
        </is>
      </c>
      <c r="C10" s="5" t="inlineStr"/>
      <c r="D10" s="41">
        <f>IF(D6=0,"",MIN(1,MAX(0,D8-1)))</f>
        <v/>
      </c>
      <c r="E10" s="41">
        <f>IF(E6=0,"",MIN(1,MAX(0,E8-1)))</f>
        <v/>
      </c>
      <c r="F10" s="41">
        <f>IF(F6=0,"",MIN(1,MAX(0,F8-1)))</f>
        <v/>
      </c>
      <c r="G10" s="41">
        <f>IF(G6=0,"",MIN(1,MAX(0,G8-1)))</f>
        <v/>
      </c>
      <c r="H10" s="41">
        <f>IF(H6=0,"",MIN(1,MAX(0,H8-1)))</f>
        <v/>
      </c>
      <c r="I10" s="41">
        <f>IF(I6=0,"",MIN(1,MAX(0,I8-1)))</f>
        <v/>
      </c>
      <c r="J10" s="41">
        <f>IF(J6=0,"",MIN(1,MAX(0,J8-1)))</f>
        <v/>
      </c>
      <c r="K10" s="41">
        <f>IF(K6=0,"",MIN(1,MAX(0,K8-1)))</f>
        <v/>
      </c>
      <c r="L10" s="41">
        <f>IF(L6=0,"",MIN(1,MAX(0,L8-1)))</f>
        <v/>
      </c>
      <c r="M10" s="41">
        <f>IF(M6=0,"",MIN(1,MAX(0,M8-1)))</f>
        <v/>
      </c>
      <c r="N10" s="41">
        <f>IF(N6=0,"",MIN(1,MAX(0,N8-1)))</f>
        <v/>
      </c>
      <c r="O10" s="41">
        <f>IF(O6=0,"",MIN(1,MAX(0,O8-1)))</f>
        <v/>
      </c>
      <c r="P10" s="41">
        <f>IF(P6=0,"",MIN(1,MAX(0,P8-1)))</f>
        <v/>
      </c>
      <c r="Q10" s="41">
        <f>IF(Q6=0,"",MIN(1,MAX(0,Q8-1)))</f>
        <v/>
      </c>
      <c r="R10" s="41">
        <f>IF(R6=0,"",MIN(1,MAX(0,R8-1)))</f>
        <v/>
      </c>
    </row>
    <row r="11">
      <c r="B11" s="4" t="inlineStr">
        <is>
          <t>Share of year 2 occupied</t>
        </is>
      </c>
      <c r="C11" s="5" t="inlineStr"/>
      <c r="D11" s="41">
        <f>IF(D6=0,"",MIN(1,MAX(0,D8-2)))</f>
        <v/>
      </c>
      <c r="E11" s="41">
        <f>IF(E6=0,"",MIN(1,MAX(0,E8-2)))</f>
        <v/>
      </c>
      <c r="F11" s="41">
        <f>IF(F6=0,"",MIN(1,MAX(0,F8-2)))</f>
        <v/>
      </c>
      <c r="G11" s="41">
        <f>IF(G6=0,"",MIN(1,MAX(0,G8-2)))</f>
        <v/>
      </c>
      <c r="H11" s="41">
        <f>IF(H6=0,"",MIN(1,MAX(0,H8-2)))</f>
        <v/>
      </c>
      <c r="I11" s="41">
        <f>IF(I6=0,"",MIN(1,MAX(0,I8-2)))</f>
        <v/>
      </c>
      <c r="J11" s="41">
        <f>IF(J6=0,"",MIN(1,MAX(0,J8-2)))</f>
        <v/>
      </c>
      <c r="K11" s="41">
        <f>IF(K6=0,"",MIN(1,MAX(0,K8-2)))</f>
        <v/>
      </c>
      <c r="L11" s="41">
        <f>IF(L6=0,"",MIN(1,MAX(0,L8-2)))</f>
        <v/>
      </c>
      <c r="M11" s="41">
        <f>IF(M6=0,"",MIN(1,MAX(0,M8-2)))</f>
        <v/>
      </c>
      <c r="N11" s="41">
        <f>IF(N6=0,"",MIN(1,MAX(0,N8-2)))</f>
        <v/>
      </c>
      <c r="O11" s="41">
        <f>IF(O6=0,"",MIN(1,MAX(0,O8-2)))</f>
        <v/>
      </c>
      <c r="P11" s="41">
        <f>IF(P6=0,"",MIN(1,MAX(0,P8-2)))</f>
        <v/>
      </c>
      <c r="Q11" s="41">
        <f>IF(Q6=0,"",MIN(1,MAX(0,Q8-2)))</f>
        <v/>
      </c>
      <c r="R11" s="41">
        <f>IF(R6=0,"",MIN(1,MAX(0,R8-2)))</f>
        <v/>
      </c>
    </row>
    <row r="12">
      <c r="B12" s="4" t="inlineStr">
        <is>
          <t>Share of year 3 occupied</t>
        </is>
      </c>
      <c r="C12" s="5" t="inlineStr"/>
      <c r="D12" s="41">
        <f>IF(D6=0,"",MIN(1,MAX(0,D8-3)))</f>
        <v/>
      </c>
      <c r="E12" s="41">
        <f>IF(E6=0,"",MIN(1,MAX(0,E8-3)))</f>
        <v/>
      </c>
      <c r="F12" s="41">
        <f>IF(F6=0,"",MIN(1,MAX(0,F8-3)))</f>
        <v/>
      </c>
      <c r="G12" s="41">
        <f>IF(G6=0,"",MIN(1,MAX(0,G8-3)))</f>
        <v/>
      </c>
      <c r="H12" s="41">
        <f>IF(H6=0,"",MIN(1,MAX(0,H8-3)))</f>
        <v/>
      </c>
      <c r="I12" s="41">
        <f>IF(I6=0,"",MIN(1,MAX(0,I8-3)))</f>
        <v/>
      </c>
      <c r="J12" s="41">
        <f>IF(J6=0,"",MIN(1,MAX(0,J8-3)))</f>
        <v/>
      </c>
      <c r="K12" s="41">
        <f>IF(K6=0,"",MIN(1,MAX(0,K8-3)))</f>
        <v/>
      </c>
      <c r="L12" s="41">
        <f>IF(L6=0,"",MIN(1,MAX(0,L8-3)))</f>
        <v/>
      </c>
      <c r="M12" s="41">
        <f>IF(M6=0,"",MIN(1,MAX(0,M8-3)))</f>
        <v/>
      </c>
      <c r="N12" s="41">
        <f>IF(N6=0,"",MIN(1,MAX(0,N8-3)))</f>
        <v/>
      </c>
      <c r="O12" s="41">
        <f>IF(O6=0,"",MIN(1,MAX(0,O8-3)))</f>
        <v/>
      </c>
      <c r="P12" s="41">
        <f>IF(P6=0,"",MIN(1,MAX(0,P8-3)))</f>
        <v/>
      </c>
      <c r="Q12" s="41">
        <f>IF(Q6=0,"",MIN(1,MAX(0,Q8-3)))</f>
        <v/>
      </c>
      <c r="R12" s="41">
        <f>IF(R6=0,"",MIN(1,MAX(0,R8-3)))</f>
        <v/>
      </c>
    </row>
    <row r="13">
      <c r="B13" s="4" t="inlineStr">
        <is>
          <t>Share of year 4 occupied</t>
        </is>
      </c>
      <c r="C13" s="5" t="inlineStr"/>
      <c r="D13" s="41">
        <f>IF(D6=0,"",MIN(1,MAX(0,D8-4)))</f>
        <v/>
      </c>
      <c r="E13" s="41">
        <f>IF(E6=0,"",MIN(1,MAX(0,E8-4)))</f>
        <v/>
      </c>
      <c r="F13" s="41">
        <f>IF(F6=0,"",MIN(1,MAX(0,F8-4)))</f>
        <v/>
      </c>
      <c r="G13" s="41">
        <f>IF(G6=0,"",MIN(1,MAX(0,G8-4)))</f>
        <v/>
      </c>
      <c r="H13" s="41">
        <f>IF(H6=0,"",MIN(1,MAX(0,H8-4)))</f>
        <v/>
      </c>
      <c r="I13" s="41">
        <f>IF(I6=0,"",MIN(1,MAX(0,I8-4)))</f>
        <v/>
      </c>
      <c r="J13" s="41">
        <f>IF(J6=0,"",MIN(1,MAX(0,J8-4)))</f>
        <v/>
      </c>
      <c r="K13" s="41">
        <f>IF(K6=0,"",MIN(1,MAX(0,K8-4)))</f>
        <v/>
      </c>
      <c r="L13" s="41">
        <f>IF(L6=0,"",MIN(1,MAX(0,L8-4)))</f>
        <v/>
      </c>
      <c r="M13" s="41">
        <f>IF(M6=0,"",MIN(1,MAX(0,M8-4)))</f>
        <v/>
      </c>
      <c r="N13" s="41">
        <f>IF(N6=0,"",MIN(1,MAX(0,N8-4)))</f>
        <v/>
      </c>
      <c r="O13" s="41">
        <f>IF(O6=0,"",MIN(1,MAX(0,O8-4)))</f>
        <v/>
      </c>
      <c r="P13" s="41">
        <f>IF(P6=0,"",MIN(1,MAX(0,P8-4)))</f>
        <v/>
      </c>
      <c r="Q13" s="41">
        <f>IF(Q6=0,"",MIN(1,MAX(0,Q8-4)))</f>
        <v/>
      </c>
      <c r="R13" s="41">
        <f>IF(R6=0,"",MIN(1,MAX(0,R8-4)))</f>
        <v/>
      </c>
    </row>
    <row r="14">
      <c r="B14" s="4" t="inlineStr">
        <is>
          <t>Discounted years at the discount rate</t>
        </is>
      </c>
      <c r="C14" s="5" t="inlineStr"/>
      <c r="D14" s="42">
        <f>IF(D6=0,"",D9/(1+Settings!$B$6)^0+D10/(1+Settings!$B$6)^1+D11/(1+Settings!$B$6)^2+D12/(1+Settings!$B$6)^3+D13/(1+Settings!$B$6)^4)</f>
        <v/>
      </c>
      <c r="E14" s="42">
        <f>IF(E6=0,"",E9/(1+Settings!$B$6)^0+E10/(1+Settings!$B$6)^1+E11/(1+Settings!$B$6)^2+E12/(1+Settings!$B$6)^3+E13/(1+Settings!$B$6)^4)</f>
        <v/>
      </c>
      <c r="F14" s="42">
        <f>IF(F6=0,"",F9/(1+Settings!$B$6)^0+F10/(1+Settings!$B$6)^1+F11/(1+Settings!$B$6)^2+F12/(1+Settings!$B$6)^3+F13/(1+Settings!$B$6)^4)</f>
        <v/>
      </c>
      <c r="G14" s="42">
        <f>IF(G6=0,"",G9/(1+Settings!$B$6)^0+G10/(1+Settings!$B$6)^1+G11/(1+Settings!$B$6)^2+G12/(1+Settings!$B$6)^3+G13/(1+Settings!$B$6)^4)</f>
        <v/>
      </c>
      <c r="H14" s="42">
        <f>IF(H6=0,"",H9/(1+Settings!$B$6)^0+H10/(1+Settings!$B$6)^1+H11/(1+Settings!$B$6)^2+H12/(1+Settings!$B$6)^3+H13/(1+Settings!$B$6)^4)</f>
        <v/>
      </c>
      <c r="I14" s="42">
        <f>IF(I6=0,"",I9/(1+Settings!$B$6)^0+I10/(1+Settings!$B$6)^1+I11/(1+Settings!$B$6)^2+I12/(1+Settings!$B$6)^3+I13/(1+Settings!$B$6)^4)</f>
        <v/>
      </c>
      <c r="J14" s="42">
        <f>IF(J6=0,"",J9/(1+Settings!$B$6)^0+J10/(1+Settings!$B$6)^1+J11/(1+Settings!$B$6)^2+J12/(1+Settings!$B$6)^3+J13/(1+Settings!$B$6)^4)</f>
        <v/>
      </c>
      <c r="K14" s="42">
        <f>IF(K6=0,"",K9/(1+Settings!$B$6)^0+K10/(1+Settings!$B$6)^1+K11/(1+Settings!$B$6)^2+K12/(1+Settings!$B$6)^3+K13/(1+Settings!$B$6)^4)</f>
        <v/>
      </c>
      <c r="L14" s="42">
        <f>IF(L6=0,"",L9/(1+Settings!$B$6)^0+L10/(1+Settings!$B$6)^1+L11/(1+Settings!$B$6)^2+L12/(1+Settings!$B$6)^3+L13/(1+Settings!$B$6)^4)</f>
        <v/>
      </c>
      <c r="M14" s="42">
        <f>IF(M6=0,"",M9/(1+Settings!$B$6)^0+M10/(1+Settings!$B$6)^1+M11/(1+Settings!$B$6)^2+M12/(1+Settings!$B$6)^3+M13/(1+Settings!$B$6)^4)</f>
        <v/>
      </c>
      <c r="N14" s="42">
        <f>IF(N6=0,"",N9/(1+Settings!$B$6)^0+N10/(1+Settings!$B$6)^1+N11/(1+Settings!$B$6)^2+N12/(1+Settings!$B$6)^3+N13/(1+Settings!$B$6)^4)</f>
        <v/>
      </c>
      <c r="O14" s="42">
        <f>IF(O6=0,"",O9/(1+Settings!$B$6)^0+O10/(1+Settings!$B$6)^1+O11/(1+Settings!$B$6)^2+O12/(1+Settings!$B$6)^3+O13/(1+Settings!$B$6)^4)</f>
        <v/>
      </c>
      <c r="P14" s="42">
        <f>IF(P6=0,"",P9/(1+Settings!$B$6)^0+P10/(1+Settings!$B$6)^1+P11/(1+Settings!$B$6)^2+P12/(1+Settings!$B$6)^3+P13/(1+Settings!$B$6)^4)</f>
        <v/>
      </c>
      <c r="Q14" s="42">
        <f>IF(Q6=0,"",Q9/(1+Settings!$B$6)^0+Q10/(1+Settings!$B$6)^1+Q11/(1+Settings!$B$6)^2+Q12/(1+Settings!$B$6)^3+Q13/(1+Settings!$B$6)^4)</f>
        <v/>
      </c>
      <c r="R14" s="42">
        <f>IF(R6=0,"",R9/(1+Settings!$B$6)^0+R10/(1+Settings!$B$6)^1+R11/(1+Settings!$B$6)^2+R12/(1+Settings!$B$6)^3+R13/(1+Settings!$B$6)^4)</f>
        <v/>
      </c>
    </row>
    <row r="15">
      <c r="B15" s="4" t="inlineStr">
        <is>
          <t>Discounted years at the wellbeing rate</t>
        </is>
      </c>
      <c r="C15" s="5" t="inlineStr"/>
      <c r="D15" s="42">
        <f>IF(D6=0,"",D9/(1+Settings!$B$7)^0+D10/(1+Settings!$B$7)^1+D11/(1+Settings!$B$7)^2+D12/(1+Settings!$B$7)^3+D13/(1+Settings!$B$7)^4)</f>
        <v/>
      </c>
      <c r="E15" s="42">
        <f>IF(E6=0,"",E9/(1+Settings!$B$7)^0+E10/(1+Settings!$B$7)^1+E11/(1+Settings!$B$7)^2+E12/(1+Settings!$B$7)^3+E13/(1+Settings!$B$7)^4)</f>
        <v/>
      </c>
      <c r="F15" s="42">
        <f>IF(F6=0,"",F9/(1+Settings!$B$7)^0+F10/(1+Settings!$B$7)^1+F11/(1+Settings!$B$7)^2+F12/(1+Settings!$B$7)^3+F13/(1+Settings!$B$7)^4)</f>
        <v/>
      </c>
      <c r="G15" s="42">
        <f>IF(G6=0,"",G9/(1+Settings!$B$7)^0+G10/(1+Settings!$B$7)^1+G11/(1+Settings!$B$7)^2+G12/(1+Settings!$B$7)^3+G13/(1+Settings!$B$7)^4)</f>
        <v/>
      </c>
      <c r="H15" s="42">
        <f>IF(H6=0,"",H9/(1+Settings!$B$7)^0+H10/(1+Settings!$B$7)^1+H11/(1+Settings!$B$7)^2+H12/(1+Settings!$B$7)^3+H13/(1+Settings!$B$7)^4)</f>
        <v/>
      </c>
      <c r="I15" s="42">
        <f>IF(I6=0,"",I9/(1+Settings!$B$7)^0+I10/(1+Settings!$B$7)^1+I11/(1+Settings!$B$7)^2+I12/(1+Settings!$B$7)^3+I13/(1+Settings!$B$7)^4)</f>
        <v/>
      </c>
      <c r="J15" s="42">
        <f>IF(J6=0,"",J9/(1+Settings!$B$7)^0+J10/(1+Settings!$B$7)^1+J11/(1+Settings!$B$7)^2+J12/(1+Settings!$B$7)^3+J13/(1+Settings!$B$7)^4)</f>
        <v/>
      </c>
      <c r="K15" s="42">
        <f>IF(K6=0,"",K9/(1+Settings!$B$7)^0+K10/(1+Settings!$B$7)^1+K11/(1+Settings!$B$7)^2+K12/(1+Settings!$B$7)^3+K13/(1+Settings!$B$7)^4)</f>
        <v/>
      </c>
      <c r="L15" s="42">
        <f>IF(L6=0,"",L9/(1+Settings!$B$7)^0+L10/(1+Settings!$B$7)^1+L11/(1+Settings!$B$7)^2+L12/(1+Settings!$B$7)^3+L13/(1+Settings!$B$7)^4)</f>
        <v/>
      </c>
      <c r="M15" s="42">
        <f>IF(M6=0,"",M9/(1+Settings!$B$7)^0+M10/(1+Settings!$B$7)^1+M11/(1+Settings!$B$7)^2+M12/(1+Settings!$B$7)^3+M13/(1+Settings!$B$7)^4)</f>
        <v/>
      </c>
      <c r="N15" s="42">
        <f>IF(N6=0,"",N9/(1+Settings!$B$7)^0+N10/(1+Settings!$B$7)^1+N11/(1+Settings!$B$7)^2+N12/(1+Settings!$B$7)^3+N13/(1+Settings!$B$7)^4)</f>
        <v/>
      </c>
      <c r="O15" s="42">
        <f>IF(O6=0,"",O9/(1+Settings!$B$7)^0+O10/(1+Settings!$B$7)^1+O11/(1+Settings!$B$7)^2+O12/(1+Settings!$B$7)^3+O13/(1+Settings!$B$7)^4)</f>
        <v/>
      </c>
      <c r="P15" s="42">
        <f>IF(P6=0,"",P9/(1+Settings!$B$7)^0+P10/(1+Settings!$B$7)^1+P11/(1+Settings!$B$7)^2+P12/(1+Settings!$B$7)^3+P13/(1+Settings!$B$7)^4)</f>
        <v/>
      </c>
      <c r="Q15" s="42">
        <f>IF(Q6=0,"",Q9/(1+Settings!$B$7)^0+Q10/(1+Settings!$B$7)^1+Q11/(1+Settings!$B$7)^2+Q12/(1+Settings!$B$7)^3+Q13/(1+Settings!$B$7)^4)</f>
        <v/>
      </c>
      <c r="R15" s="42">
        <f>IF(R6=0,"",R9/(1+Settings!$B$7)^0+R10/(1+Settings!$B$7)^1+R11/(1+Settings!$B$7)^2+R12/(1+Settings!$B$7)^3+R13/(1+Settings!$B$7)^4)</f>
        <v/>
      </c>
    </row>
    <row r="16">
      <c r="B16" s="4" t="inlineStr">
        <is>
          <t>Discount factor for the year after occupation</t>
        </is>
      </c>
      <c r="C16" s="5" t="inlineStr"/>
      <c r="D16" s="42">
        <f>IF(D6=0,"",1/(1+Settings!$B$6)^ROUNDUP(D8,0))</f>
        <v/>
      </c>
      <c r="E16" s="42">
        <f>IF(E6=0,"",1/(1+Settings!$B$6)^ROUNDUP(E8,0))</f>
        <v/>
      </c>
      <c r="F16" s="42">
        <f>IF(F6=0,"",1/(1+Settings!$B$6)^ROUNDUP(F8,0))</f>
        <v/>
      </c>
      <c r="G16" s="42">
        <f>IF(G6=0,"",1/(1+Settings!$B$6)^ROUNDUP(G8,0))</f>
        <v/>
      </c>
      <c r="H16" s="42">
        <f>IF(H6=0,"",1/(1+Settings!$B$6)^ROUNDUP(H8,0))</f>
        <v/>
      </c>
      <c r="I16" s="42">
        <f>IF(I6=0,"",1/(1+Settings!$B$6)^ROUNDUP(I8,0))</f>
        <v/>
      </c>
      <c r="J16" s="42">
        <f>IF(J6=0,"",1/(1+Settings!$B$6)^ROUNDUP(J8,0))</f>
        <v/>
      </c>
      <c r="K16" s="42">
        <f>IF(K6=0,"",1/(1+Settings!$B$6)^ROUNDUP(K8,0))</f>
        <v/>
      </c>
      <c r="L16" s="42">
        <f>IF(L6=0,"",1/(1+Settings!$B$6)^ROUNDUP(L8,0))</f>
        <v/>
      </c>
      <c r="M16" s="42">
        <f>IF(M6=0,"",1/(1+Settings!$B$6)^ROUNDUP(M8,0))</f>
        <v/>
      </c>
      <c r="N16" s="42">
        <f>IF(N6=0,"",1/(1+Settings!$B$6)^ROUNDUP(N8,0))</f>
        <v/>
      </c>
      <c r="O16" s="42">
        <f>IF(O6=0,"",1/(1+Settings!$B$6)^ROUNDUP(O8,0))</f>
        <v/>
      </c>
      <c r="P16" s="42">
        <f>IF(P6=0,"",1/(1+Settings!$B$6)^ROUNDUP(P8,0))</f>
        <v/>
      </c>
      <c r="Q16" s="42">
        <f>IF(Q6=0,"",1/(1+Settings!$B$6)^ROUNDUP(Q8,0))</f>
        <v/>
      </c>
      <c r="R16" s="42">
        <f>IF(R6=0,"",1/(1+Settings!$B$6)^ROUNDUP(R8,0))</f>
        <v/>
      </c>
    </row>
    <row r="17">
      <c r="B17" s="7" t="inlineStr">
        <is>
          <t>Business as Usual: chance of a let anyway</t>
        </is>
      </c>
      <c r="D17" s="8" t="n"/>
      <c r="E17" s="8" t="n"/>
      <c r="F17" s="8" t="n"/>
      <c r="G17" s="8" t="n"/>
      <c r="H17" s="8" t="n"/>
      <c r="I17" s="8" t="n"/>
      <c r="J17" s="8" t="n"/>
      <c r="K17" s="8" t="n"/>
      <c r="L17" s="8" t="n"/>
      <c r="M17" s="8" t="n"/>
      <c r="N17" s="8" t="n"/>
      <c r="O17" s="8" t="n"/>
      <c r="P17" s="8" t="n"/>
      <c r="Q17" s="8" t="n"/>
      <c r="R17" s="8" t="n"/>
    </row>
    <row r="18">
      <c r="B18" s="4" t="inlineStr">
        <is>
          <t>Council survey: vacant units</t>
        </is>
      </c>
      <c r="C18" s="5" t="inlineStr"/>
      <c r="D18" s="39">
        <f>IF(D6=0,"",IFERROR(IF(INDEX('Static Data'!$C$35:$C$59,MATCH(Inputs!$C$7,'Static Data'!$A$35:$A$59,0))="","",INDEX('Static Data'!$C$35:$C$59,MATCH(Inputs!$C$7,'Static Data'!$A$35:$A$59,0))),""))</f>
        <v/>
      </c>
      <c r="E18" s="39">
        <f>IF(E6=0,"",IFERROR(IF(INDEX('Static Data'!$C$35:$C$59,MATCH(Inputs!$C$7,'Static Data'!$A$35:$A$59,0))="","",INDEX('Static Data'!$C$35:$C$59,MATCH(Inputs!$C$7,'Static Data'!$A$35:$A$59,0))),""))</f>
        <v/>
      </c>
      <c r="F18" s="39">
        <f>IF(F6=0,"",IFERROR(IF(INDEX('Static Data'!$C$35:$C$59,MATCH(Inputs!$C$7,'Static Data'!$A$35:$A$59,0))="","",INDEX('Static Data'!$C$35:$C$59,MATCH(Inputs!$C$7,'Static Data'!$A$35:$A$59,0))),""))</f>
        <v/>
      </c>
      <c r="G18" s="39">
        <f>IF(G6=0,"",IFERROR(IF(INDEX('Static Data'!$C$35:$C$59,MATCH(Inputs!$D$7,'Static Data'!$A$35:$A$59,0))="","",INDEX('Static Data'!$C$35:$C$59,MATCH(Inputs!$D$7,'Static Data'!$A$35:$A$59,0))),""))</f>
        <v/>
      </c>
      <c r="H18" s="39">
        <f>IF(H6=0,"",IFERROR(IF(INDEX('Static Data'!$C$35:$C$59,MATCH(Inputs!$D$7,'Static Data'!$A$35:$A$59,0))="","",INDEX('Static Data'!$C$35:$C$59,MATCH(Inputs!$D$7,'Static Data'!$A$35:$A$59,0))),""))</f>
        <v/>
      </c>
      <c r="I18" s="39">
        <f>IF(I6=0,"",IFERROR(IF(INDEX('Static Data'!$C$35:$C$59,MATCH(Inputs!$D$7,'Static Data'!$A$35:$A$59,0))="","",INDEX('Static Data'!$C$35:$C$59,MATCH(Inputs!$D$7,'Static Data'!$A$35:$A$59,0))),""))</f>
        <v/>
      </c>
      <c r="J18" s="39">
        <f>IF(J6=0,"",IFERROR(IF(INDEX('Static Data'!$C$35:$C$59,MATCH(Inputs!$E$7,'Static Data'!$A$35:$A$59,0))="","",INDEX('Static Data'!$C$35:$C$59,MATCH(Inputs!$E$7,'Static Data'!$A$35:$A$59,0))),""))</f>
        <v/>
      </c>
      <c r="K18" s="39">
        <f>IF(K6=0,"",IFERROR(IF(INDEX('Static Data'!$C$35:$C$59,MATCH(Inputs!$E$7,'Static Data'!$A$35:$A$59,0))="","",INDEX('Static Data'!$C$35:$C$59,MATCH(Inputs!$E$7,'Static Data'!$A$35:$A$59,0))),""))</f>
        <v/>
      </c>
      <c r="L18" s="39">
        <f>IF(L6=0,"",IFERROR(IF(INDEX('Static Data'!$C$35:$C$59,MATCH(Inputs!$E$7,'Static Data'!$A$35:$A$59,0))="","",INDEX('Static Data'!$C$35:$C$59,MATCH(Inputs!$E$7,'Static Data'!$A$35:$A$59,0))),""))</f>
        <v/>
      </c>
      <c r="M18" s="39">
        <f>IF(M6=0,"",IFERROR(IF(INDEX('Static Data'!$C$35:$C$59,MATCH(Inputs!$F$7,'Static Data'!$A$35:$A$59,0))="","",INDEX('Static Data'!$C$35:$C$59,MATCH(Inputs!$F$7,'Static Data'!$A$35:$A$59,0))),""))</f>
        <v/>
      </c>
      <c r="N18" s="39">
        <f>IF(N6=0,"",IFERROR(IF(INDEX('Static Data'!$C$35:$C$59,MATCH(Inputs!$F$7,'Static Data'!$A$35:$A$59,0))="","",INDEX('Static Data'!$C$35:$C$59,MATCH(Inputs!$F$7,'Static Data'!$A$35:$A$59,0))),""))</f>
        <v/>
      </c>
      <c r="O18" s="39">
        <f>IF(O6=0,"",IFERROR(IF(INDEX('Static Data'!$C$35:$C$59,MATCH(Inputs!$F$7,'Static Data'!$A$35:$A$59,0))="","",INDEX('Static Data'!$C$35:$C$59,MATCH(Inputs!$F$7,'Static Data'!$A$35:$A$59,0))),""))</f>
        <v/>
      </c>
      <c r="P18" s="39">
        <f>IF(P6=0,"",IFERROR(IF(INDEX('Static Data'!$C$35:$C$59,MATCH(Inputs!$G$7,'Static Data'!$A$35:$A$59,0))="","",INDEX('Static Data'!$C$35:$C$59,MATCH(Inputs!$G$7,'Static Data'!$A$35:$A$59,0))),""))</f>
        <v/>
      </c>
      <c r="Q18" s="39">
        <f>IF(Q6=0,"",IFERROR(IF(INDEX('Static Data'!$C$35:$C$59,MATCH(Inputs!$G$7,'Static Data'!$A$35:$A$59,0))="","",INDEX('Static Data'!$C$35:$C$59,MATCH(Inputs!$G$7,'Static Data'!$A$35:$A$59,0))),""))</f>
        <v/>
      </c>
      <c r="R18" s="39">
        <f>IF(R6=0,"",IFERROR(IF(INDEX('Static Data'!$C$35:$C$59,MATCH(Inputs!$G$7,'Static Data'!$A$35:$A$59,0))="","",INDEX('Static Data'!$C$35:$C$59,MATCH(Inputs!$G$7,'Static Data'!$A$35:$A$59,0))),""))</f>
        <v/>
      </c>
    </row>
    <row r="19">
      <c r="B19" s="4" t="inlineStr">
        <is>
          <t>Council survey: still vacant</t>
        </is>
      </c>
      <c r="C19" s="5" t="inlineStr"/>
      <c r="D19" s="39">
        <f>IF(D6=0,"",IFERROR(IF(INDEX('Static Data'!$D$35:$D$59,MATCH(Inputs!$C$7,'Static Data'!$A$35:$A$59,0))="","",INDEX('Static Data'!$D$35:$D$59,MATCH(Inputs!$C$7,'Static Data'!$A$35:$A$59,0))),""))</f>
        <v/>
      </c>
      <c r="E19" s="39">
        <f>IF(E6=0,"",IFERROR(IF(INDEX('Static Data'!$D$35:$D$59,MATCH(Inputs!$C$7,'Static Data'!$A$35:$A$59,0))="","",INDEX('Static Data'!$D$35:$D$59,MATCH(Inputs!$C$7,'Static Data'!$A$35:$A$59,0))),""))</f>
        <v/>
      </c>
      <c r="F19" s="39">
        <f>IF(F6=0,"",IFERROR(IF(INDEX('Static Data'!$D$35:$D$59,MATCH(Inputs!$C$7,'Static Data'!$A$35:$A$59,0))="","",INDEX('Static Data'!$D$35:$D$59,MATCH(Inputs!$C$7,'Static Data'!$A$35:$A$59,0))),""))</f>
        <v/>
      </c>
      <c r="G19" s="39">
        <f>IF(G6=0,"",IFERROR(IF(INDEX('Static Data'!$D$35:$D$59,MATCH(Inputs!$D$7,'Static Data'!$A$35:$A$59,0))="","",INDEX('Static Data'!$D$35:$D$59,MATCH(Inputs!$D$7,'Static Data'!$A$35:$A$59,0))),""))</f>
        <v/>
      </c>
      <c r="H19" s="39">
        <f>IF(H6=0,"",IFERROR(IF(INDEX('Static Data'!$D$35:$D$59,MATCH(Inputs!$D$7,'Static Data'!$A$35:$A$59,0))="","",INDEX('Static Data'!$D$35:$D$59,MATCH(Inputs!$D$7,'Static Data'!$A$35:$A$59,0))),""))</f>
        <v/>
      </c>
      <c r="I19" s="39">
        <f>IF(I6=0,"",IFERROR(IF(INDEX('Static Data'!$D$35:$D$59,MATCH(Inputs!$D$7,'Static Data'!$A$35:$A$59,0))="","",INDEX('Static Data'!$D$35:$D$59,MATCH(Inputs!$D$7,'Static Data'!$A$35:$A$59,0))),""))</f>
        <v/>
      </c>
      <c r="J19" s="39">
        <f>IF(J6=0,"",IFERROR(IF(INDEX('Static Data'!$D$35:$D$59,MATCH(Inputs!$E$7,'Static Data'!$A$35:$A$59,0))="","",INDEX('Static Data'!$D$35:$D$59,MATCH(Inputs!$E$7,'Static Data'!$A$35:$A$59,0))),""))</f>
        <v/>
      </c>
      <c r="K19" s="39">
        <f>IF(K6=0,"",IFERROR(IF(INDEX('Static Data'!$D$35:$D$59,MATCH(Inputs!$E$7,'Static Data'!$A$35:$A$59,0))="","",INDEX('Static Data'!$D$35:$D$59,MATCH(Inputs!$E$7,'Static Data'!$A$35:$A$59,0))),""))</f>
        <v/>
      </c>
      <c r="L19" s="39">
        <f>IF(L6=0,"",IFERROR(IF(INDEX('Static Data'!$D$35:$D$59,MATCH(Inputs!$E$7,'Static Data'!$A$35:$A$59,0))="","",INDEX('Static Data'!$D$35:$D$59,MATCH(Inputs!$E$7,'Static Data'!$A$35:$A$59,0))),""))</f>
        <v/>
      </c>
      <c r="M19" s="39">
        <f>IF(M6=0,"",IFERROR(IF(INDEX('Static Data'!$D$35:$D$59,MATCH(Inputs!$F$7,'Static Data'!$A$35:$A$59,0))="","",INDEX('Static Data'!$D$35:$D$59,MATCH(Inputs!$F$7,'Static Data'!$A$35:$A$59,0))),""))</f>
        <v/>
      </c>
      <c r="N19" s="39">
        <f>IF(N6=0,"",IFERROR(IF(INDEX('Static Data'!$D$35:$D$59,MATCH(Inputs!$F$7,'Static Data'!$A$35:$A$59,0))="","",INDEX('Static Data'!$D$35:$D$59,MATCH(Inputs!$F$7,'Static Data'!$A$35:$A$59,0))),""))</f>
        <v/>
      </c>
      <c r="O19" s="39">
        <f>IF(O6=0,"",IFERROR(IF(INDEX('Static Data'!$D$35:$D$59,MATCH(Inputs!$F$7,'Static Data'!$A$35:$A$59,0))="","",INDEX('Static Data'!$D$35:$D$59,MATCH(Inputs!$F$7,'Static Data'!$A$35:$A$59,0))),""))</f>
        <v/>
      </c>
      <c r="P19" s="39">
        <f>IF(P6=0,"",IFERROR(IF(INDEX('Static Data'!$D$35:$D$59,MATCH(Inputs!$G$7,'Static Data'!$A$35:$A$59,0))="","",INDEX('Static Data'!$D$35:$D$59,MATCH(Inputs!$G$7,'Static Data'!$A$35:$A$59,0))),""))</f>
        <v/>
      </c>
      <c r="Q19" s="39">
        <f>IF(Q6=0,"",IFERROR(IF(INDEX('Static Data'!$D$35:$D$59,MATCH(Inputs!$G$7,'Static Data'!$A$35:$A$59,0))="","",INDEX('Static Data'!$D$35:$D$59,MATCH(Inputs!$G$7,'Static Data'!$A$35:$A$59,0))),""))</f>
        <v/>
      </c>
      <c r="R19" s="39">
        <f>IF(R6=0,"",IFERROR(IF(INDEX('Static Data'!$D$35:$D$59,MATCH(Inputs!$G$7,'Static Data'!$A$35:$A$59,0))="","",INDEX('Static Data'!$D$35:$D$59,MATCH(Inputs!$G$7,'Static Data'!$A$35:$A$59,0))),""))</f>
        <v/>
      </c>
    </row>
    <row r="20">
      <c r="B20" s="4" t="inlineStr">
        <is>
          <t>Council survey: months between surveys</t>
        </is>
      </c>
      <c r="C20" s="5" t="inlineStr"/>
      <c r="D20" s="39">
        <f>IF(D6=0,"",IFERROR(IF(INDEX('Static Data'!$E$35:$E$59,MATCH(Inputs!$C$7,'Static Data'!$A$35:$A$59,0))="","",INDEX('Static Data'!$E$35:$E$59,MATCH(Inputs!$C$7,'Static Data'!$A$35:$A$59,0))),""))</f>
        <v/>
      </c>
      <c r="E20" s="39">
        <f>IF(E6=0,"",IFERROR(IF(INDEX('Static Data'!$E$35:$E$59,MATCH(Inputs!$C$7,'Static Data'!$A$35:$A$59,0))="","",INDEX('Static Data'!$E$35:$E$59,MATCH(Inputs!$C$7,'Static Data'!$A$35:$A$59,0))),""))</f>
        <v/>
      </c>
      <c r="F20" s="39">
        <f>IF(F6=0,"",IFERROR(IF(INDEX('Static Data'!$E$35:$E$59,MATCH(Inputs!$C$7,'Static Data'!$A$35:$A$59,0))="","",INDEX('Static Data'!$E$35:$E$59,MATCH(Inputs!$C$7,'Static Data'!$A$35:$A$59,0))),""))</f>
        <v/>
      </c>
      <c r="G20" s="39">
        <f>IF(G6=0,"",IFERROR(IF(INDEX('Static Data'!$E$35:$E$59,MATCH(Inputs!$D$7,'Static Data'!$A$35:$A$59,0))="","",INDEX('Static Data'!$E$35:$E$59,MATCH(Inputs!$D$7,'Static Data'!$A$35:$A$59,0))),""))</f>
        <v/>
      </c>
      <c r="H20" s="39">
        <f>IF(H6=0,"",IFERROR(IF(INDEX('Static Data'!$E$35:$E$59,MATCH(Inputs!$D$7,'Static Data'!$A$35:$A$59,0))="","",INDEX('Static Data'!$E$35:$E$59,MATCH(Inputs!$D$7,'Static Data'!$A$35:$A$59,0))),""))</f>
        <v/>
      </c>
      <c r="I20" s="39">
        <f>IF(I6=0,"",IFERROR(IF(INDEX('Static Data'!$E$35:$E$59,MATCH(Inputs!$D$7,'Static Data'!$A$35:$A$59,0))="","",INDEX('Static Data'!$E$35:$E$59,MATCH(Inputs!$D$7,'Static Data'!$A$35:$A$59,0))),""))</f>
        <v/>
      </c>
      <c r="J20" s="39">
        <f>IF(J6=0,"",IFERROR(IF(INDEX('Static Data'!$E$35:$E$59,MATCH(Inputs!$E$7,'Static Data'!$A$35:$A$59,0))="","",INDEX('Static Data'!$E$35:$E$59,MATCH(Inputs!$E$7,'Static Data'!$A$35:$A$59,0))),""))</f>
        <v/>
      </c>
      <c r="K20" s="39">
        <f>IF(K6=0,"",IFERROR(IF(INDEX('Static Data'!$E$35:$E$59,MATCH(Inputs!$E$7,'Static Data'!$A$35:$A$59,0))="","",INDEX('Static Data'!$E$35:$E$59,MATCH(Inputs!$E$7,'Static Data'!$A$35:$A$59,0))),""))</f>
        <v/>
      </c>
      <c r="L20" s="39">
        <f>IF(L6=0,"",IFERROR(IF(INDEX('Static Data'!$E$35:$E$59,MATCH(Inputs!$E$7,'Static Data'!$A$35:$A$59,0))="","",INDEX('Static Data'!$E$35:$E$59,MATCH(Inputs!$E$7,'Static Data'!$A$35:$A$59,0))),""))</f>
        <v/>
      </c>
      <c r="M20" s="39">
        <f>IF(M6=0,"",IFERROR(IF(INDEX('Static Data'!$E$35:$E$59,MATCH(Inputs!$F$7,'Static Data'!$A$35:$A$59,0))="","",INDEX('Static Data'!$E$35:$E$59,MATCH(Inputs!$F$7,'Static Data'!$A$35:$A$59,0))),""))</f>
        <v/>
      </c>
      <c r="N20" s="39">
        <f>IF(N6=0,"",IFERROR(IF(INDEX('Static Data'!$E$35:$E$59,MATCH(Inputs!$F$7,'Static Data'!$A$35:$A$59,0))="","",INDEX('Static Data'!$E$35:$E$59,MATCH(Inputs!$F$7,'Static Data'!$A$35:$A$59,0))),""))</f>
        <v/>
      </c>
      <c r="O20" s="39">
        <f>IF(O6=0,"",IFERROR(IF(INDEX('Static Data'!$E$35:$E$59,MATCH(Inputs!$F$7,'Static Data'!$A$35:$A$59,0))="","",INDEX('Static Data'!$E$35:$E$59,MATCH(Inputs!$F$7,'Static Data'!$A$35:$A$59,0))),""))</f>
        <v/>
      </c>
      <c r="P20" s="39">
        <f>IF(P6=0,"",IFERROR(IF(INDEX('Static Data'!$E$35:$E$59,MATCH(Inputs!$G$7,'Static Data'!$A$35:$A$59,0))="","",INDEX('Static Data'!$E$35:$E$59,MATCH(Inputs!$G$7,'Static Data'!$A$35:$A$59,0))),""))</f>
        <v/>
      </c>
      <c r="Q20" s="39">
        <f>IF(Q6=0,"",IFERROR(IF(INDEX('Static Data'!$E$35:$E$59,MATCH(Inputs!$G$7,'Static Data'!$A$35:$A$59,0))="","",INDEX('Static Data'!$E$35:$E$59,MATCH(Inputs!$G$7,'Static Data'!$A$35:$A$59,0))),""))</f>
        <v/>
      </c>
      <c r="R20" s="39">
        <f>IF(R6=0,"",IFERROR(IF(INDEX('Static Data'!$E$35:$E$59,MATCH(Inputs!$G$7,'Static Data'!$A$35:$A$59,0))="","",INDEX('Static Data'!$E$35:$E$59,MATCH(Inputs!$G$7,'Static Data'!$A$35:$A$59,0))),""))</f>
        <v/>
      </c>
    </row>
    <row r="21">
      <c r="B21" s="4" t="inlineStr">
        <is>
          <t>Council survey complete (1 = yes)</t>
        </is>
      </c>
      <c r="C21" s="5" t="inlineStr"/>
      <c r="D21" s="40">
        <f>IF(D6=0,"",IF(AND(N(D18)&gt;0,D19&lt;&gt;"",N(D20)&gt;0),1,0))</f>
        <v/>
      </c>
      <c r="E21" s="40">
        <f>IF(E6=0,"",IF(AND(N(E18)&gt;0,E19&lt;&gt;"",N(E20)&gt;0),1,0))</f>
        <v/>
      </c>
      <c r="F21" s="40">
        <f>IF(F6=0,"",IF(AND(N(F18)&gt;0,F19&lt;&gt;"",N(F20)&gt;0),1,0))</f>
        <v/>
      </c>
      <c r="G21" s="40">
        <f>IF(G6=0,"",IF(AND(N(G18)&gt;0,G19&lt;&gt;"",N(G20)&gt;0),1,0))</f>
        <v/>
      </c>
      <c r="H21" s="40">
        <f>IF(H6=0,"",IF(AND(N(H18)&gt;0,H19&lt;&gt;"",N(H20)&gt;0),1,0))</f>
        <v/>
      </c>
      <c r="I21" s="40">
        <f>IF(I6=0,"",IF(AND(N(I18)&gt;0,I19&lt;&gt;"",N(I20)&gt;0),1,0))</f>
        <v/>
      </c>
      <c r="J21" s="40">
        <f>IF(J6=0,"",IF(AND(N(J18)&gt;0,J19&lt;&gt;"",N(J20)&gt;0),1,0))</f>
        <v/>
      </c>
      <c r="K21" s="40">
        <f>IF(K6=0,"",IF(AND(N(K18)&gt;0,K19&lt;&gt;"",N(K20)&gt;0),1,0))</f>
        <v/>
      </c>
      <c r="L21" s="40">
        <f>IF(L6=0,"",IF(AND(N(L18)&gt;0,L19&lt;&gt;"",N(L20)&gt;0),1,0))</f>
        <v/>
      </c>
      <c r="M21" s="40">
        <f>IF(M6=0,"",IF(AND(N(M18)&gt;0,M19&lt;&gt;"",N(M20)&gt;0),1,0))</f>
        <v/>
      </c>
      <c r="N21" s="40">
        <f>IF(N6=0,"",IF(AND(N(N18)&gt;0,N19&lt;&gt;"",N(N20)&gt;0),1,0))</f>
        <v/>
      </c>
      <c r="O21" s="40">
        <f>IF(O6=0,"",IF(AND(N(O18)&gt;0,O19&lt;&gt;"",N(O20)&gt;0),1,0))</f>
        <v/>
      </c>
      <c r="P21" s="40">
        <f>IF(P6=0,"",IF(AND(N(P18)&gt;0,P19&lt;&gt;"",N(P20)&gt;0),1,0))</f>
        <v/>
      </c>
      <c r="Q21" s="40">
        <f>IF(Q6=0,"",IF(AND(N(Q18)&gt;0,Q19&lt;&gt;"",N(Q20)&gt;0),1,0))</f>
        <v/>
      </c>
      <c r="R21" s="40">
        <f>IF(R6=0,"",IF(AND(N(R18)&gt;0,R19&lt;&gt;"",N(R20)&gt;0),1,0))</f>
        <v/>
      </c>
    </row>
    <row r="22">
      <c r="B22" s="4" t="inlineStr">
        <is>
          <t>Chance of a let anyway over the period</t>
        </is>
      </c>
      <c r="C22" s="5" t="inlineStr">
        <is>
          <t>share</t>
        </is>
      </c>
      <c r="D22" s="43">
        <f>IF(D6=0,"",IF(Inputs!$C$18&lt;&gt;"",Inputs!$C$18,IF(D21=1,1-(D19/D18)^(D7/D20),Assumptions!$N$22/100)))</f>
        <v/>
      </c>
      <c r="E22" s="43">
        <f>IF(E6=0,"",IF(Inputs!$C$18&lt;&gt;"",Inputs!$C$18,IF(E21=1,1-(E19/E18)^(E7/E20),Assumptions!$O$22/100)))</f>
        <v/>
      </c>
      <c r="F22" s="43">
        <f>IF(F6=0,"",IF(Inputs!$C$18&lt;&gt;"",Inputs!$C$18,IF(F21=1,1-(F19/F18)^(F7/F20),Assumptions!$P$22/100)))</f>
        <v/>
      </c>
      <c r="G22" s="43">
        <f>IF(G6=0,"",IF(Inputs!$D$18&lt;&gt;"",Inputs!$D$18,IF(G21=1,1-(G19/G18)^(G7/G20),Assumptions!$N$22/100)))</f>
        <v/>
      </c>
      <c r="H22" s="43">
        <f>IF(H6=0,"",IF(Inputs!$D$18&lt;&gt;"",Inputs!$D$18,IF(H21=1,1-(H19/H18)^(H7/H20),Assumptions!$O$22/100)))</f>
        <v/>
      </c>
      <c r="I22" s="43">
        <f>IF(I6=0,"",IF(Inputs!$D$18&lt;&gt;"",Inputs!$D$18,IF(I21=1,1-(I19/I18)^(I7/I20),Assumptions!$P$22/100)))</f>
        <v/>
      </c>
      <c r="J22" s="43">
        <f>IF(J6=0,"",IF(Inputs!$E$18&lt;&gt;"",Inputs!$E$18,IF(J21=1,1-(J19/J18)^(J7/J20),Assumptions!$N$22/100)))</f>
        <v/>
      </c>
      <c r="K22" s="43">
        <f>IF(K6=0,"",IF(Inputs!$E$18&lt;&gt;"",Inputs!$E$18,IF(K21=1,1-(K19/K18)^(K7/K20),Assumptions!$O$22/100)))</f>
        <v/>
      </c>
      <c r="L22" s="43">
        <f>IF(L6=0,"",IF(Inputs!$E$18&lt;&gt;"",Inputs!$E$18,IF(L21=1,1-(L19/L18)^(L7/L20),Assumptions!$P$22/100)))</f>
        <v/>
      </c>
      <c r="M22" s="43">
        <f>IF(M6=0,"",IF(Inputs!$F$18&lt;&gt;"",Inputs!$F$18,IF(M21=1,1-(M19/M18)^(M7/M20),Assumptions!$N$22/100)))</f>
        <v/>
      </c>
      <c r="N22" s="43">
        <f>IF(N6=0,"",IF(Inputs!$F$18&lt;&gt;"",Inputs!$F$18,IF(N21=1,1-(N19/N18)^(N7/N20),Assumptions!$O$22/100)))</f>
        <v/>
      </c>
      <c r="O22" s="43">
        <f>IF(O6=0,"",IF(Inputs!$F$18&lt;&gt;"",Inputs!$F$18,IF(O21=1,1-(O19/O18)^(O7/O20),Assumptions!$P$22/100)))</f>
        <v/>
      </c>
      <c r="P22" s="43">
        <f>IF(P6=0,"",IF(Inputs!$G$18&lt;&gt;"",Inputs!$G$18,IF(P21=1,1-(P19/P18)^(P7/P20),Assumptions!$N$22/100)))</f>
        <v/>
      </c>
      <c r="Q22" s="43">
        <f>IF(Q6=0,"",IF(Inputs!$G$18&lt;&gt;"",Inputs!$G$18,IF(Q21=1,1-(Q19/Q18)^(Q7/Q20),Assumptions!$O$22/100)))</f>
        <v/>
      </c>
      <c r="R22" s="43">
        <f>IF(R6=0,"",IF(Inputs!$G$18&lt;&gt;"",Inputs!$G$18,IF(R21=1,1-(R19/R18)^(R7/R20),Assumptions!$P$22/100)))</f>
        <v/>
      </c>
    </row>
    <row r="23">
      <c r="B23" s="4" t="inlineStr">
        <is>
          <t>Grade of the let-anyway figure</t>
        </is>
      </c>
      <c r="C23" s="5" t="inlineStr"/>
      <c r="D23" s="40">
        <f>IF(D6=0,"",IF(Inputs!$C$18&lt;&gt;"",4,IF(D21=1,2,Assumptions!$Q$22)))</f>
        <v/>
      </c>
      <c r="E23" s="40">
        <f>IF(E6=0,"",IF(Inputs!$C$18&lt;&gt;"",4,IF(E21=1,2,Assumptions!$Q$22)))</f>
        <v/>
      </c>
      <c r="F23" s="40">
        <f>IF(F6=0,"",IF(Inputs!$C$18&lt;&gt;"",4,IF(F21=1,2,Assumptions!$Q$22)))</f>
        <v/>
      </c>
      <c r="G23" s="40">
        <f>IF(G6=0,"",IF(Inputs!$D$18&lt;&gt;"",4,IF(G21=1,2,Assumptions!$Q$22)))</f>
        <v/>
      </c>
      <c r="H23" s="40">
        <f>IF(H6=0,"",IF(Inputs!$D$18&lt;&gt;"",4,IF(H21=1,2,Assumptions!$Q$22)))</f>
        <v/>
      </c>
      <c r="I23" s="40">
        <f>IF(I6=0,"",IF(Inputs!$D$18&lt;&gt;"",4,IF(I21=1,2,Assumptions!$Q$22)))</f>
        <v/>
      </c>
      <c r="J23" s="40">
        <f>IF(J6=0,"",IF(Inputs!$E$18&lt;&gt;"",4,IF(J21=1,2,Assumptions!$Q$22)))</f>
        <v/>
      </c>
      <c r="K23" s="40">
        <f>IF(K6=0,"",IF(Inputs!$E$18&lt;&gt;"",4,IF(K21=1,2,Assumptions!$Q$22)))</f>
        <v/>
      </c>
      <c r="L23" s="40">
        <f>IF(L6=0,"",IF(Inputs!$E$18&lt;&gt;"",4,IF(L21=1,2,Assumptions!$Q$22)))</f>
        <v/>
      </c>
      <c r="M23" s="40">
        <f>IF(M6=0,"",IF(Inputs!$F$18&lt;&gt;"",4,IF(M21=1,2,Assumptions!$Q$22)))</f>
        <v/>
      </c>
      <c r="N23" s="40">
        <f>IF(N6=0,"",IF(Inputs!$F$18&lt;&gt;"",4,IF(N21=1,2,Assumptions!$Q$22)))</f>
        <v/>
      </c>
      <c r="O23" s="40">
        <f>IF(O6=0,"",IF(Inputs!$F$18&lt;&gt;"",4,IF(O21=1,2,Assumptions!$Q$22)))</f>
        <v/>
      </c>
      <c r="P23" s="40">
        <f>IF(P6=0,"",IF(Inputs!$G$18&lt;&gt;"",4,IF(P21=1,2,Assumptions!$Q$22)))</f>
        <v/>
      </c>
      <c r="Q23" s="40">
        <f>IF(Q6=0,"",IF(Inputs!$G$18&lt;&gt;"",4,IF(Q21=1,2,Assumptions!$Q$22)))</f>
        <v/>
      </c>
      <c r="R23" s="40">
        <f>IF(R6=0,"",IF(Inputs!$G$18&lt;&gt;"",4,IF(R21=1,2,Assumptions!$Q$22)))</f>
        <v/>
      </c>
    </row>
    <row r="24">
      <c r="B24" s="4" t="inlineStr">
        <is>
          <t>Break clause (1 = the landlord can end the lease for a let)</t>
        </is>
      </c>
      <c r="C24" s="5" t="inlineStr"/>
      <c r="D24" s="40">
        <f>IF(D6=0,"",IF(Inputs!$C$19="No",0,1))</f>
        <v/>
      </c>
      <c r="E24" s="40">
        <f>IF(E6=0,"",IF(Inputs!$C$19="No",0,1))</f>
        <v/>
      </c>
      <c r="F24" s="40">
        <f>IF(F6=0,"",IF(Inputs!$C$19="No",0,1))</f>
        <v/>
      </c>
      <c r="G24" s="40">
        <f>IF(G6=0,"",IF(Inputs!$D$19="No",0,1))</f>
        <v/>
      </c>
      <c r="H24" s="40">
        <f>IF(H6=0,"",IF(Inputs!$D$19="No",0,1))</f>
        <v/>
      </c>
      <c r="I24" s="40">
        <f>IF(I6=0,"",IF(Inputs!$D$19="No",0,1))</f>
        <v/>
      </c>
      <c r="J24" s="40">
        <f>IF(J6=0,"",IF(Inputs!$E$19="No",0,1))</f>
        <v/>
      </c>
      <c r="K24" s="40">
        <f>IF(K6=0,"",IF(Inputs!$E$19="No",0,1))</f>
        <v/>
      </c>
      <c r="L24" s="40">
        <f>IF(L6=0,"",IF(Inputs!$E$19="No",0,1))</f>
        <v/>
      </c>
      <c r="M24" s="40">
        <f>IF(M6=0,"",IF(Inputs!$F$19="No",0,1))</f>
        <v/>
      </c>
      <c r="N24" s="40">
        <f>IF(N6=0,"",IF(Inputs!$F$19="No",0,1))</f>
        <v/>
      </c>
      <c r="O24" s="40">
        <f>IF(O6=0,"",IF(Inputs!$F$19="No",0,1))</f>
        <v/>
      </c>
      <c r="P24" s="40">
        <f>IF(P6=0,"",IF(Inputs!$G$19="No",0,1))</f>
        <v/>
      </c>
      <c r="Q24" s="40">
        <f>IF(Q6=0,"",IF(Inputs!$G$19="No",0,1))</f>
        <v/>
      </c>
      <c r="R24" s="40">
        <f>IF(R6=0,"",IF(Inputs!$G$19="No",0,1))</f>
        <v/>
      </c>
    </row>
    <row r="25">
      <c r="B25" s="4" t="inlineStr">
        <is>
          <t>Share kept after a let anyway (jobs, visitors, avoided costs)</t>
        </is>
      </c>
      <c r="C25" s="5" t="inlineStr">
        <is>
          <t>share</t>
        </is>
      </c>
      <c r="D25" s="43">
        <f>IF(D6=0,"",1-D22)</f>
        <v/>
      </c>
      <c r="E25" s="43">
        <f>IF(E6=0,"",1-E22)</f>
        <v/>
      </c>
      <c r="F25" s="43">
        <f>IF(F6=0,"",1-F22)</f>
        <v/>
      </c>
      <c r="G25" s="43">
        <f>IF(G6=0,"",1-G22)</f>
        <v/>
      </c>
      <c r="H25" s="43">
        <f>IF(H6=0,"",1-H22)</f>
        <v/>
      </c>
      <c r="I25" s="43">
        <f>IF(I6=0,"",1-I22)</f>
        <v/>
      </c>
      <c r="J25" s="43">
        <f>IF(J6=0,"",1-J22)</f>
        <v/>
      </c>
      <c r="K25" s="43">
        <f>IF(K6=0,"",1-K22)</f>
        <v/>
      </c>
      <c r="L25" s="43">
        <f>IF(L6=0,"",1-L22)</f>
        <v/>
      </c>
      <c r="M25" s="43">
        <f>IF(M6=0,"",1-M22)</f>
        <v/>
      </c>
      <c r="N25" s="43">
        <f>IF(N6=0,"",1-N22)</f>
        <v/>
      </c>
      <c r="O25" s="43">
        <f>IF(O6=0,"",1-O22)</f>
        <v/>
      </c>
      <c r="P25" s="43">
        <f>IF(P6=0,"",1-P22)</f>
        <v/>
      </c>
      <c r="Q25" s="43">
        <f>IF(Q6=0,"",1-Q22)</f>
        <v/>
      </c>
      <c r="R25" s="43">
        <f>IF(R6=0,"",1-R22)</f>
        <v/>
      </c>
    </row>
    <row r="26">
      <c r="B26" s="4" t="inlineStr">
        <is>
          <t>Share kept for volunteering and participation</t>
        </is>
      </c>
      <c r="C26" s="5" t="inlineStr">
        <is>
          <t>share</t>
        </is>
      </c>
      <c r="D26" s="43">
        <f>IF(D6=0,"",IF(D24=1,1-D22,1))</f>
        <v/>
      </c>
      <c r="E26" s="43">
        <f>IF(E6=0,"",IF(E24=1,1-E22,1))</f>
        <v/>
      </c>
      <c r="F26" s="43">
        <f>IF(F6=0,"",IF(F24=1,1-F22,1))</f>
        <v/>
      </c>
      <c r="G26" s="43">
        <f>IF(G6=0,"",IF(G24=1,1-G22,1))</f>
        <v/>
      </c>
      <c r="H26" s="43">
        <f>IF(H6=0,"",IF(H24=1,1-H22,1))</f>
        <v/>
      </c>
      <c r="I26" s="43">
        <f>IF(I6=0,"",IF(I24=1,1-I22,1))</f>
        <v/>
      </c>
      <c r="J26" s="43">
        <f>IF(J6=0,"",IF(J24=1,1-J22,1))</f>
        <v/>
      </c>
      <c r="K26" s="43">
        <f>IF(K6=0,"",IF(K24=1,1-K22,1))</f>
        <v/>
      </c>
      <c r="L26" s="43">
        <f>IF(L6=0,"",IF(L24=1,1-L22,1))</f>
        <v/>
      </c>
      <c r="M26" s="43">
        <f>IF(M6=0,"",IF(M24=1,1-M22,1))</f>
        <v/>
      </c>
      <c r="N26" s="43">
        <f>IF(N6=0,"",IF(N24=1,1-N22,1))</f>
        <v/>
      </c>
      <c r="O26" s="43">
        <f>IF(O6=0,"",IF(O24=1,1-O22,1))</f>
        <v/>
      </c>
      <c r="P26" s="43">
        <f>IF(P6=0,"",IF(P24=1,1-P22,1))</f>
        <v/>
      </c>
      <c r="Q26" s="43">
        <f>IF(Q6=0,"",IF(Q24=1,1-Q22,1))</f>
        <v/>
      </c>
      <c r="R26" s="43">
        <f>IF(R6=0,"",IF(R24=1,1-R22,1))</f>
        <v/>
      </c>
    </row>
    <row r="27">
      <c r="B27" s="7" t="inlineStr">
        <is>
          <t>Jobs (FTE)</t>
        </is>
      </c>
      <c r="D27" s="8" t="n"/>
      <c r="E27" s="8" t="n"/>
      <c r="F27" s="8" t="n"/>
      <c r="G27" s="8" t="n"/>
      <c r="H27" s="8" t="n"/>
      <c r="I27" s="8" t="n"/>
      <c r="J27" s="8" t="n"/>
      <c r="K27" s="8" t="n"/>
      <c r="L27" s="8" t="n"/>
      <c r="M27" s="8" t="n"/>
      <c r="N27" s="8" t="n"/>
      <c r="O27" s="8" t="n"/>
      <c r="P27" s="8" t="n"/>
      <c r="Q27" s="8" t="n"/>
      <c r="R27" s="8" t="n"/>
    </row>
    <row r="28">
      <c r="B28" s="4" t="inlineStr">
        <is>
          <t>Floor area</t>
        </is>
      </c>
      <c r="C28" s="5" t="inlineStr">
        <is>
          <t>m2</t>
        </is>
      </c>
      <c r="D28" s="44">
        <f>IF(D6=0,"",N(Inputs!$C$11)*IF(Inputs!$C$12="m2",1,0.09290304))</f>
        <v/>
      </c>
      <c r="E28" s="44">
        <f>IF(E6=0,"",N(Inputs!$C$11)*IF(Inputs!$C$12="m2",1,0.09290304))</f>
        <v/>
      </c>
      <c r="F28" s="44">
        <f>IF(F6=0,"",N(Inputs!$C$11)*IF(Inputs!$C$12="m2",1,0.09290304))</f>
        <v/>
      </c>
      <c r="G28" s="44">
        <f>IF(G6=0,"",N(Inputs!$D$11)*IF(Inputs!$D$12="m2",1,0.09290304))</f>
        <v/>
      </c>
      <c r="H28" s="44">
        <f>IF(H6=0,"",N(Inputs!$D$11)*IF(Inputs!$D$12="m2",1,0.09290304))</f>
        <v/>
      </c>
      <c r="I28" s="44">
        <f>IF(I6=0,"",N(Inputs!$D$11)*IF(Inputs!$D$12="m2",1,0.09290304))</f>
        <v/>
      </c>
      <c r="J28" s="44">
        <f>IF(J6=0,"",N(Inputs!$E$11)*IF(Inputs!$E$12="m2",1,0.09290304))</f>
        <v/>
      </c>
      <c r="K28" s="44">
        <f>IF(K6=0,"",N(Inputs!$E$11)*IF(Inputs!$E$12="m2",1,0.09290304))</f>
        <v/>
      </c>
      <c r="L28" s="44">
        <f>IF(L6=0,"",N(Inputs!$E$11)*IF(Inputs!$E$12="m2",1,0.09290304))</f>
        <v/>
      </c>
      <c r="M28" s="44">
        <f>IF(M6=0,"",N(Inputs!$F$11)*IF(Inputs!$F$12="m2",1,0.09290304))</f>
        <v/>
      </c>
      <c r="N28" s="44">
        <f>IF(N6=0,"",N(Inputs!$F$11)*IF(Inputs!$F$12="m2",1,0.09290304))</f>
        <v/>
      </c>
      <c r="O28" s="44">
        <f>IF(O6=0,"",N(Inputs!$F$11)*IF(Inputs!$F$12="m2",1,0.09290304))</f>
        <v/>
      </c>
      <c r="P28" s="44">
        <f>IF(P6=0,"",N(Inputs!$G$11)*IF(Inputs!$G$12="m2",1,0.09290304))</f>
        <v/>
      </c>
      <c r="Q28" s="44">
        <f>IF(Q6=0,"",N(Inputs!$G$11)*IF(Inputs!$G$12="m2",1,0.09290304))</f>
        <v/>
      </c>
      <c r="R28" s="44">
        <f>IF(R6=0,"",N(Inputs!$G$11)*IF(Inputs!$G$12="m2",1,0.09290304))</f>
        <v/>
      </c>
    </row>
    <row r="29">
      <c r="B29" s="4" t="inlineStr">
        <is>
          <t>Share of the space in use</t>
        </is>
      </c>
      <c r="C29" s="5" t="inlineStr">
        <is>
          <t>share</t>
        </is>
      </c>
      <c r="D29" s="43">
        <f>IF(D6=0,"",IF(Inputs!$C$40&lt;&gt;"",Inputs!$C$40,Assumptions!$N$43/100))</f>
        <v/>
      </c>
      <c r="E29" s="43">
        <f>IF(E6=0,"",IF(Inputs!$C$40&lt;&gt;"",Inputs!$C$40,Assumptions!$O$43/100))</f>
        <v/>
      </c>
      <c r="F29" s="43">
        <f>IF(F6=0,"",IF(Inputs!$C$40&lt;&gt;"",Inputs!$C$40,Assumptions!$P$43/100))</f>
        <v/>
      </c>
      <c r="G29" s="43">
        <f>IF(G6=0,"",IF(Inputs!$D$40&lt;&gt;"",Inputs!$D$40,Assumptions!$N$43/100))</f>
        <v/>
      </c>
      <c r="H29" s="43">
        <f>IF(H6=0,"",IF(Inputs!$D$40&lt;&gt;"",Inputs!$D$40,Assumptions!$O$43/100))</f>
        <v/>
      </c>
      <c r="I29" s="43">
        <f>IF(I6=0,"",IF(Inputs!$D$40&lt;&gt;"",Inputs!$D$40,Assumptions!$P$43/100))</f>
        <v/>
      </c>
      <c r="J29" s="43">
        <f>IF(J6=0,"",IF(Inputs!$E$40&lt;&gt;"",Inputs!$E$40,Assumptions!$N$43/100))</f>
        <v/>
      </c>
      <c r="K29" s="43">
        <f>IF(K6=0,"",IF(Inputs!$E$40&lt;&gt;"",Inputs!$E$40,Assumptions!$O$43/100))</f>
        <v/>
      </c>
      <c r="L29" s="43">
        <f>IF(L6=0,"",IF(Inputs!$E$40&lt;&gt;"",Inputs!$E$40,Assumptions!$P$43/100))</f>
        <v/>
      </c>
      <c r="M29" s="43">
        <f>IF(M6=0,"",IF(Inputs!$F$40&lt;&gt;"",Inputs!$F$40,Assumptions!$N$43/100))</f>
        <v/>
      </c>
      <c r="N29" s="43">
        <f>IF(N6=0,"",IF(Inputs!$F$40&lt;&gt;"",Inputs!$F$40,Assumptions!$O$43/100))</f>
        <v/>
      </c>
      <c r="O29" s="43">
        <f>IF(O6=0,"",IF(Inputs!$F$40&lt;&gt;"",Inputs!$F$40,Assumptions!$P$43/100))</f>
        <v/>
      </c>
      <c r="P29" s="43">
        <f>IF(P6=0,"",IF(Inputs!$G$40&lt;&gt;"",Inputs!$G$40,Assumptions!$N$43/100))</f>
        <v/>
      </c>
      <c r="Q29" s="43">
        <f>IF(Q6=0,"",IF(Inputs!$G$40&lt;&gt;"",Inputs!$G$40,Assumptions!$O$43/100))</f>
        <v/>
      </c>
      <c r="R29" s="43">
        <f>IF(R6=0,"",IF(Inputs!$G$40&lt;&gt;"",Inputs!$G$40,Assumptions!$P$43/100))</f>
        <v/>
      </c>
    </row>
    <row r="30">
      <c r="B30" s="4" t="inlineStr">
        <is>
          <t>Officer staffing</t>
        </is>
      </c>
      <c r="C30" s="5" t="inlineStr">
        <is>
          <t>FTE</t>
        </is>
      </c>
      <c r="D30" s="44">
        <f>IF(D6=0,"",IF(Inputs!$C$37&lt;&gt;"",Inputs!$C$37,IF(OR(Inputs!$C$38&lt;&gt;"",Inputs!$C$39&lt;&gt;""),N(Inputs!$C$38)+N(Inputs!$C$39)/Assumptions!$O$44,"")))</f>
        <v/>
      </c>
      <c r="E30" s="44">
        <f>IF(E6=0,"",IF(Inputs!$C$37&lt;&gt;"",Inputs!$C$37,IF(OR(Inputs!$C$38&lt;&gt;"",Inputs!$C$39&lt;&gt;""),N(Inputs!$C$38)+N(Inputs!$C$39)/Assumptions!$O$44,"")))</f>
        <v/>
      </c>
      <c r="F30" s="44">
        <f>IF(F6=0,"",IF(Inputs!$C$37&lt;&gt;"",Inputs!$C$37,IF(OR(Inputs!$C$38&lt;&gt;"",Inputs!$C$39&lt;&gt;""),N(Inputs!$C$38)+N(Inputs!$C$39)/Assumptions!$O$44,"")))</f>
        <v/>
      </c>
      <c r="G30" s="44">
        <f>IF(G6=0,"",IF(Inputs!$D$37&lt;&gt;"",Inputs!$D$37,IF(OR(Inputs!$D$38&lt;&gt;"",Inputs!$D$39&lt;&gt;""),N(Inputs!$D$38)+N(Inputs!$D$39)/Assumptions!$O$44,"")))</f>
        <v/>
      </c>
      <c r="H30" s="44">
        <f>IF(H6=0,"",IF(Inputs!$D$37&lt;&gt;"",Inputs!$D$37,IF(OR(Inputs!$D$38&lt;&gt;"",Inputs!$D$39&lt;&gt;""),N(Inputs!$D$38)+N(Inputs!$D$39)/Assumptions!$O$44,"")))</f>
        <v/>
      </c>
      <c r="I30" s="44">
        <f>IF(I6=0,"",IF(Inputs!$D$37&lt;&gt;"",Inputs!$D$37,IF(OR(Inputs!$D$38&lt;&gt;"",Inputs!$D$39&lt;&gt;""),N(Inputs!$D$38)+N(Inputs!$D$39)/Assumptions!$O$44,"")))</f>
        <v/>
      </c>
      <c r="J30" s="44">
        <f>IF(J6=0,"",IF(Inputs!$E$37&lt;&gt;"",Inputs!$E$37,IF(OR(Inputs!$E$38&lt;&gt;"",Inputs!$E$39&lt;&gt;""),N(Inputs!$E$38)+N(Inputs!$E$39)/Assumptions!$O$44,"")))</f>
        <v/>
      </c>
      <c r="K30" s="44">
        <f>IF(K6=0,"",IF(Inputs!$E$37&lt;&gt;"",Inputs!$E$37,IF(OR(Inputs!$E$38&lt;&gt;"",Inputs!$E$39&lt;&gt;""),N(Inputs!$E$38)+N(Inputs!$E$39)/Assumptions!$O$44,"")))</f>
        <v/>
      </c>
      <c r="L30" s="44">
        <f>IF(L6=0,"",IF(Inputs!$E$37&lt;&gt;"",Inputs!$E$37,IF(OR(Inputs!$E$38&lt;&gt;"",Inputs!$E$39&lt;&gt;""),N(Inputs!$E$38)+N(Inputs!$E$39)/Assumptions!$O$44,"")))</f>
        <v/>
      </c>
      <c r="M30" s="44">
        <f>IF(M6=0,"",IF(Inputs!$F$37&lt;&gt;"",Inputs!$F$37,IF(OR(Inputs!$F$38&lt;&gt;"",Inputs!$F$39&lt;&gt;""),N(Inputs!$F$38)+N(Inputs!$F$39)/Assumptions!$O$44,"")))</f>
        <v/>
      </c>
      <c r="N30" s="44">
        <f>IF(N6=0,"",IF(Inputs!$F$37&lt;&gt;"",Inputs!$F$37,IF(OR(Inputs!$F$38&lt;&gt;"",Inputs!$F$39&lt;&gt;""),N(Inputs!$F$38)+N(Inputs!$F$39)/Assumptions!$O$44,"")))</f>
        <v/>
      </c>
      <c r="O30" s="44">
        <f>IF(O6=0,"",IF(Inputs!$F$37&lt;&gt;"",Inputs!$F$37,IF(OR(Inputs!$F$38&lt;&gt;"",Inputs!$F$39&lt;&gt;""),N(Inputs!$F$38)+N(Inputs!$F$39)/Assumptions!$O$44,"")))</f>
        <v/>
      </c>
      <c r="P30" s="44">
        <f>IF(P6=0,"",IF(Inputs!$G$37&lt;&gt;"",Inputs!$G$37,IF(OR(Inputs!$G$38&lt;&gt;"",Inputs!$G$39&lt;&gt;""),N(Inputs!$G$38)+N(Inputs!$G$39)/Assumptions!$O$44,"")))</f>
        <v/>
      </c>
      <c r="Q30" s="44">
        <f>IF(Q6=0,"",IF(Inputs!$G$37&lt;&gt;"",Inputs!$G$37,IF(OR(Inputs!$G$38&lt;&gt;"",Inputs!$G$39&lt;&gt;""),N(Inputs!$G$38)+N(Inputs!$G$39)/Assumptions!$O$44,"")))</f>
        <v/>
      </c>
      <c r="R30" s="44">
        <f>IF(R6=0,"",IF(Inputs!$G$37&lt;&gt;"",Inputs!$G$37,IF(OR(Inputs!$G$38&lt;&gt;"",Inputs!$G$39&lt;&gt;""),N(Inputs!$G$38)+N(Inputs!$G$39)/Assumptions!$O$44,"")))</f>
        <v/>
      </c>
    </row>
    <row r="31">
      <c r="B31" s="4" t="inlineStr">
        <is>
          <t>Employment density for the use</t>
        </is>
      </c>
      <c r="C31" s="5" t="inlineStr">
        <is>
          <t>m2 per FTE</t>
        </is>
      </c>
      <c r="D31" s="44">
        <f>IF(D6=0,"",IFERROR(INDEX(Lookups!$O$5:$O$12,MATCH(Inputs!$C$9,Lookups!$N$5:$N$12,0)),""))</f>
        <v/>
      </c>
      <c r="E31" s="44">
        <f>IF(E6=0,"",IFERROR(INDEX(Lookups!$P$5:$P$12,MATCH(Inputs!$C$9,Lookups!$N$5:$N$12,0)),""))</f>
        <v/>
      </c>
      <c r="F31" s="44">
        <f>IF(F6=0,"",IFERROR(INDEX(Lookups!$Q$5:$Q$12,MATCH(Inputs!$C$9,Lookups!$N$5:$N$12,0)),""))</f>
        <v/>
      </c>
      <c r="G31" s="44">
        <f>IF(G6=0,"",IFERROR(INDEX(Lookups!$O$5:$O$12,MATCH(Inputs!$D$9,Lookups!$N$5:$N$12,0)),""))</f>
        <v/>
      </c>
      <c r="H31" s="44">
        <f>IF(H6=0,"",IFERROR(INDEX(Lookups!$P$5:$P$12,MATCH(Inputs!$D$9,Lookups!$N$5:$N$12,0)),""))</f>
        <v/>
      </c>
      <c r="I31" s="44">
        <f>IF(I6=0,"",IFERROR(INDEX(Lookups!$Q$5:$Q$12,MATCH(Inputs!$D$9,Lookups!$N$5:$N$12,0)),""))</f>
        <v/>
      </c>
      <c r="J31" s="44">
        <f>IF(J6=0,"",IFERROR(INDEX(Lookups!$O$5:$O$12,MATCH(Inputs!$E$9,Lookups!$N$5:$N$12,0)),""))</f>
        <v/>
      </c>
      <c r="K31" s="44">
        <f>IF(K6=0,"",IFERROR(INDEX(Lookups!$P$5:$P$12,MATCH(Inputs!$E$9,Lookups!$N$5:$N$12,0)),""))</f>
        <v/>
      </c>
      <c r="L31" s="44">
        <f>IF(L6=0,"",IFERROR(INDEX(Lookups!$Q$5:$Q$12,MATCH(Inputs!$E$9,Lookups!$N$5:$N$12,0)),""))</f>
        <v/>
      </c>
      <c r="M31" s="44">
        <f>IF(M6=0,"",IFERROR(INDEX(Lookups!$O$5:$O$12,MATCH(Inputs!$F$9,Lookups!$N$5:$N$12,0)),""))</f>
        <v/>
      </c>
      <c r="N31" s="44">
        <f>IF(N6=0,"",IFERROR(INDEX(Lookups!$P$5:$P$12,MATCH(Inputs!$F$9,Lookups!$N$5:$N$12,0)),""))</f>
        <v/>
      </c>
      <c r="O31" s="44">
        <f>IF(O6=0,"",IFERROR(INDEX(Lookups!$Q$5:$Q$12,MATCH(Inputs!$F$9,Lookups!$N$5:$N$12,0)),""))</f>
        <v/>
      </c>
      <c r="P31" s="44">
        <f>IF(P6=0,"",IFERROR(INDEX(Lookups!$O$5:$O$12,MATCH(Inputs!$G$9,Lookups!$N$5:$N$12,0)),""))</f>
        <v/>
      </c>
      <c r="Q31" s="44">
        <f>IF(Q6=0,"",IFERROR(INDEX(Lookups!$P$5:$P$12,MATCH(Inputs!$G$9,Lookups!$N$5:$N$12,0)),""))</f>
        <v/>
      </c>
      <c r="R31" s="44">
        <f>IF(R6=0,"",IFERROR(INDEX(Lookups!$Q$5:$Q$12,MATCH(Inputs!$G$9,Lookups!$N$5:$N$12,0)),""))</f>
        <v/>
      </c>
    </row>
    <row r="32">
      <c r="B32" s="4" t="inlineStr">
        <is>
          <t>Density in use (blank where the Guide has none)</t>
        </is>
      </c>
      <c r="C32" s="5" t="inlineStr">
        <is>
          <t>m2 per FTE</t>
        </is>
      </c>
      <c r="D32" s="44">
        <f>IF(D6=0,"",IF(AND(ISNUMBER(D31),N(D31)&gt;0),D31,""))</f>
        <v/>
      </c>
      <c r="E32" s="44">
        <f>IF(E6=0,"",IF(AND(ISNUMBER(E31),N(E31)&gt;0),E31,""))</f>
        <v/>
      </c>
      <c r="F32" s="44">
        <f>IF(F6=0,"",IF(AND(ISNUMBER(F31),N(F31)&gt;0),F31,""))</f>
        <v/>
      </c>
      <c r="G32" s="44">
        <f>IF(G6=0,"",IF(AND(ISNUMBER(G31),N(G31)&gt;0),G31,""))</f>
        <v/>
      </c>
      <c r="H32" s="44">
        <f>IF(H6=0,"",IF(AND(ISNUMBER(H31),N(H31)&gt;0),H31,""))</f>
        <v/>
      </c>
      <c r="I32" s="44">
        <f>IF(I6=0,"",IF(AND(ISNUMBER(I31),N(I31)&gt;0),I31,""))</f>
        <v/>
      </c>
      <c r="J32" s="44">
        <f>IF(J6=0,"",IF(AND(ISNUMBER(J31),N(J31)&gt;0),J31,""))</f>
        <v/>
      </c>
      <c r="K32" s="44">
        <f>IF(K6=0,"",IF(AND(ISNUMBER(K31),N(K31)&gt;0),K31,""))</f>
        <v/>
      </c>
      <c r="L32" s="44">
        <f>IF(L6=0,"",IF(AND(ISNUMBER(L31),N(L31)&gt;0),L31,""))</f>
        <v/>
      </c>
      <c r="M32" s="44">
        <f>IF(M6=0,"",IF(AND(ISNUMBER(M31),N(M31)&gt;0),M31,""))</f>
        <v/>
      </c>
      <c r="N32" s="44">
        <f>IF(N6=0,"",IF(AND(ISNUMBER(N31),N(N31)&gt;0),N31,""))</f>
        <v/>
      </c>
      <c r="O32" s="44">
        <f>IF(O6=0,"",IF(AND(ISNUMBER(O31),N(O31)&gt;0),O31,""))</f>
        <v/>
      </c>
      <c r="P32" s="44">
        <f>IF(P6=0,"",IF(AND(ISNUMBER(P31),N(P31)&gt;0),P31,""))</f>
        <v/>
      </c>
      <c r="Q32" s="44">
        <f>IF(Q6=0,"",IF(AND(ISNUMBER(Q31),N(Q31)&gt;0),Q31,""))</f>
        <v/>
      </c>
      <c r="R32" s="44">
        <f>IF(R6=0,"",IF(AND(ISNUMBER(R31),N(R31)&gt;0),R31,""))</f>
        <v/>
      </c>
    </row>
    <row r="33">
      <c r="B33" s="4" t="inlineStr">
        <is>
          <t>Density on net internal area (1 = yes)</t>
        </is>
      </c>
      <c r="C33" s="5" t="inlineStr"/>
      <c r="D33" s="40">
        <f>IF(D6=0,"",INDEX(Lookups!$S$5:$S$12,MATCH(Inputs!$C$9,Lookups!$N$5:$N$12,0)))</f>
        <v/>
      </c>
      <c r="E33" s="40">
        <f>IF(E6=0,"",INDEX(Lookups!$S$5:$S$12,MATCH(Inputs!$C$9,Lookups!$N$5:$N$12,0)))</f>
        <v/>
      </c>
      <c r="F33" s="40">
        <f>IF(F6=0,"",INDEX(Lookups!$S$5:$S$12,MATCH(Inputs!$C$9,Lookups!$N$5:$N$12,0)))</f>
        <v/>
      </c>
      <c r="G33" s="40">
        <f>IF(G6=0,"",INDEX(Lookups!$S$5:$S$12,MATCH(Inputs!$D$9,Lookups!$N$5:$N$12,0)))</f>
        <v/>
      </c>
      <c r="H33" s="40">
        <f>IF(H6=0,"",INDEX(Lookups!$S$5:$S$12,MATCH(Inputs!$D$9,Lookups!$N$5:$N$12,0)))</f>
        <v/>
      </c>
      <c r="I33" s="40">
        <f>IF(I6=0,"",INDEX(Lookups!$S$5:$S$12,MATCH(Inputs!$D$9,Lookups!$N$5:$N$12,0)))</f>
        <v/>
      </c>
      <c r="J33" s="40">
        <f>IF(J6=0,"",INDEX(Lookups!$S$5:$S$12,MATCH(Inputs!$E$9,Lookups!$N$5:$N$12,0)))</f>
        <v/>
      </c>
      <c r="K33" s="40">
        <f>IF(K6=0,"",INDEX(Lookups!$S$5:$S$12,MATCH(Inputs!$E$9,Lookups!$N$5:$N$12,0)))</f>
        <v/>
      </c>
      <c r="L33" s="40">
        <f>IF(L6=0,"",INDEX(Lookups!$S$5:$S$12,MATCH(Inputs!$E$9,Lookups!$N$5:$N$12,0)))</f>
        <v/>
      </c>
      <c r="M33" s="40">
        <f>IF(M6=0,"",INDEX(Lookups!$S$5:$S$12,MATCH(Inputs!$F$9,Lookups!$N$5:$N$12,0)))</f>
        <v/>
      </c>
      <c r="N33" s="40">
        <f>IF(N6=0,"",INDEX(Lookups!$S$5:$S$12,MATCH(Inputs!$F$9,Lookups!$N$5:$N$12,0)))</f>
        <v/>
      </c>
      <c r="O33" s="40">
        <f>IF(O6=0,"",INDEX(Lookups!$S$5:$S$12,MATCH(Inputs!$F$9,Lookups!$N$5:$N$12,0)))</f>
        <v/>
      </c>
      <c r="P33" s="40">
        <f>IF(P6=0,"",INDEX(Lookups!$S$5:$S$12,MATCH(Inputs!$G$9,Lookups!$N$5:$N$12,0)))</f>
        <v/>
      </c>
      <c r="Q33" s="40">
        <f>IF(Q6=0,"",INDEX(Lookups!$S$5:$S$12,MATCH(Inputs!$G$9,Lookups!$N$5:$N$12,0)))</f>
        <v/>
      </c>
      <c r="R33" s="40">
        <f>IF(R6=0,"",INDEX(Lookups!$S$5:$S$12,MATCH(Inputs!$G$9,Lookups!$N$5:$N$12,0)))</f>
        <v/>
      </c>
    </row>
    <row r="34">
      <c r="B34" s="4" t="inlineStr">
        <is>
          <t>ONS FTE per local unit, matching industry</t>
        </is>
      </c>
      <c r="C34" s="5" t="inlineStr">
        <is>
          <t>FTE</t>
        </is>
      </c>
      <c r="D34" s="41">
        <f>IF(D6=0,"",INDEX(Lookups!$T$5:$T$12,MATCH(Inputs!$C$9,Lookups!$N$5:$N$12,0)))</f>
        <v/>
      </c>
      <c r="E34" s="41">
        <f>IF(E6=0,"",INDEX(Lookups!$T$5:$T$12,MATCH(Inputs!$C$9,Lookups!$N$5:$N$12,0)))</f>
        <v/>
      </c>
      <c r="F34" s="41">
        <f>IF(F6=0,"",INDEX(Lookups!$T$5:$T$12,MATCH(Inputs!$C$9,Lookups!$N$5:$N$12,0)))</f>
        <v/>
      </c>
      <c r="G34" s="41">
        <f>IF(G6=0,"",INDEX(Lookups!$T$5:$T$12,MATCH(Inputs!$D$9,Lookups!$N$5:$N$12,0)))</f>
        <v/>
      </c>
      <c r="H34" s="41">
        <f>IF(H6=0,"",INDEX(Lookups!$T$5:$T$12,MATCH(Inputs!$D$9,Lookups!$N$5:$N$12,0)))</f>
        <v/>
      </c>
      <c r="I34" s="41">
        <f>IF(I6=0,"",INDEX(Lookups!$T$5:$T$12,MATCH(Inputs!$D$9,Lookups!$N$5:$N$12,0)))</f>
        <v/>
      </c>
      <c r="J34" s="41">
        <f>IF(J6=0,"",INDEX(Lookups!$T$5:$T$12,MATCH(Inputs!$E$9,Lookups!$N$5:$N$12,0)))</f>
        <v/>
      </c>
      <c r="K34" s="41">
        <f>IF(K6=0,"",INDEX(Lookups!$T$5:$T$12,MATCH(Inputs!$E$9,Lookups!$N$5:$N$12,0)))</f>
        <v/>
      </c>
      <c r="L34" s="41">
        <f>IF(L6=0,"",INDEX(Lookups!$T$5:$T$12,MATCH(Inputs!$E$9,Lookups!$N$5:$N$12,0)))</f>
        <v/>
      </c>
      <c r="M34" s="41">
        <f>IF(M6=0,"",INDEX(Lookups!$T$5:$T$12,MATCH(Inputs!$F$9,Lookups!$N$5:$N$12,0)))</f>
        <v/>
      </c>
      <c r="N34" s="41">
        <f>IF(N6=0,"",INDEX(Lookups!$T$5:$T$12,MATCH(Inputs!$F$9,Lookups!$N$5:$N$12,0)))</f>
        <v/>
      </c>
      <c r="O34" s="41">
        <f>IF(O6=0,"",INDEX(Lookups!$T$5:$T$12,MATCH(Inputs!$F$9,Lookups!$N$5:$N$12,0)))</f>
        <v/>
      </c>
      <c r="P34" s="41">
        <f>IF(P6=0,"",INDEX(Lookups!$T$5:$T$12,MATCH(Inputs!$G$9,Lookups!$N$5:$N$12,0)))</f>
        <v/>
      </c>
      <c r="Q34" s="41">
        <f>IF(Q6=0,"",INDEX(Lookups!$T$5:$T$12,MATCH(Inputs!$G$9,Lookups!$N$5:$N$12,0)))</f>
        <v/>
      </c>
      <c r="R34" s="41">
        <f>IF(R6=0,"",INDEX(Lookups!$T$5:$T$12,MATCH(Inputs!$G$9,Lookups!$N$5:$N$12,0)))</f>
        <v/>
      </c>
    </row>
    <row r="35">
      <c r="B35" s="4" t="inlineStr">
        <is>
          <t>Gross FTE while open</t>
        </is>
      </c>
      <c r="C35" s="5" t="inlineStr">
        <is>
          <t>FTE</t>
        </is>
      </c>
      <c r="D35" s="44">
        <f>IF(D6=0,"",IF(D30&lt;&gt;"",D30,IF(D32&lt;&gt;"",D28*IF(D33=1,Assumptions!$O$45/100,1)/D32*D29,D34*D29)))</f>
        <v/>
      </c>
      <c r="E35" s="44">
        <f>IF(E6=0,"",IF(E30&lt;&gt;"",E30,IF(E32&lt;&gt;"",E28*IF(E33=1,Assumptions!$O$45/100,1)/E32*E29,E34*E29)))</f>
        <v/>
      </c>
      <c r="F35" s="44">
        <f>IF(F6=0,"",IF(F30&lt;&gt;"",F30,IF(F32&lt;&gt;"",F28*IF(F33=1,Assumptions!$O$45/100,1)/F32*F29,F34*F29)))</f>
        <v/>
      </c>
      <c r="G35" s="44">
        <f>IF(G6=0,"",IF(G30&lt;&gt;"",G30,IF(G32&lt;&gt;"",G28*IF(G33=1,Assumptions!$O$45/100,1)/G32*G29,G34*G29)))</f>
        <v/>
      </c>
      <c r="H35" s="44">
        <f>IF(H6=0,"",IF(H30&lt;&gt;"",H30,IF(H32&lt;&gt;"",H28*IF(H33=1,Assumptions!$O$45/100,1)/H32*H29,H34*H29)))</f>
        <v/>
      </c>
      <c r="I35" s="44">
        <f>IF(I6=0,"",IF(I30&lt;&gt;"",I30,IF(I32&lt;&gt;"",I28*IF(I33=1,Assumptions!$O$45/100,1)/I32*I29,I34*I29)))</f>
        <v/>
      </c>
      <c r="J35" s="44">
        <f>IF(J6=0,"",IF(J30&lt;&gt;"",J30,IF(J32&lt;&gt;"",J28*IF(J33=1,Assumptions!$O$45/100,1)/J32*J29,J34*J29)))</f>
        <v/>
      </c>
      <c r="K35" s="44">
        <f>IF(K6=0,"",IF(K30&lt;&gt;"",K30,IF(K32&lt;&gt;"",K28*IF(K33=1,Assumptions!$O$45/100,1)/K32*K29,K34*K29)))</f>
        <v/>
      </c>
      <c r="L35" s="44">
        <f>IF(L6=0,"",IF(L30&lt;&gt;"",L30,IF(L32&lt;&gt;"",L28*IF(L33=1,Assumptions!$O$45/100,1)/L32*L29,L34*L29)))</f>
        <v/>
      </c>
      <c r="M35" s="44">
        <f>IF(M6=0,"",IF(M30&lt;&gt;"",M30,IF(M32&lt;&gt;"",M28*IF(M33=1,Assumptions!$O$45/100,1)/M32*M29,M34*M29)))</f>
        <v/>
      </c>
      <c r="N35" s="44">
        <f>IF(N6=0,"",IF(N30&lt;&gt;"",N30,IF(N32&lt;&gt;"",N28*IF(N33=1,Assumptions!$O$45/100,1)/N32*N29,N34*N29)))</f>
        <v/>
      </c>
      <c r="O35" s="44">
        <f>IF(O6=0,"",IF(O30&lt;&gt;"",O30,IF(O32&lt;&gt;"",O28*IF(O33=1,Assumptions!$O$45/100,1)/O32*O29,O34*O29)))</f>
        <v/>
      </c>
      <c r="P35" s="44">
        <f>IF(P6=0,"",IF(P30&lt;&gt;"",P30,IF(P32&lt;&gt;"",P28*IF(P33=1,Assumptions!$O$45/100,1)/P32*P29,P34*P29)))</f>
        <v/>
      </c>
      <c r="Q35" s="44">
        <f>IF(Q6=0,"",IF(Q30&lt;&gt;"",Q30,IF(Q32&lt;&gt;"",Q28*IF(Q33=1,Assumptions!$O$45/100,1)/Q32*Q29,Q34*Q29)))</f>
        <v/>
      </c>
      <c r="R35" s="44">
        <f>IF(R6=0,"",IF(R30&lt;&gt;"",R30,IF(R32&lt;&gt;"",R28*IF(R33=1,Assumptions!$O$45/100,1)/R32*R29,R34*R29)))</f>
        <v/>
      </c>
    </row>
    <row r="36">
      <c r="B36" s="4" t="inlineStr">
        <is>
          <t>Grade of the job estimate</t>
        </is>
      </c>
      <c r="C36" s="5" t="inlineStr"/>
      <c r="D36" s="40">
        <f>IF(D6=0,"",IF(D30&lt;&gt;"",2,MAX(IF(D32&lt;&gt;"",INDEX(Lookups!$R$5:$R$12,MATCH(Inputs!$C$9,Lookups!$N$5:$N$12,0)),INDEX(Lookups!$U$5:$U$12,MATCH(Inputs!$C$9,Lookups!$N$5:$N$12,0))),IF(Inputs!$C$40&lt;&gt;"",2,Assumptions!$Q$43))))</f>
        <v/>
      </c>
      <c r="E36" s="40">
        <f>IF(E6=0,"",IF(E30&lt;&gt;"",2,MAX(IF(E32&lt;&gt;"",INDEX(Lookups!$R$5:$R$12,MATCH(Inputs!$C$9,Lookups!$N$5:$N$12,0)),INDEX(Lookups!$U$5:$U$12,MATCH(Inputs!$C$9,Lookups!$N$5:$N$12,0))),IF(Inputs!$C$40&lt;&gt;"",2,Assumptions!$Q$43))))</f>
        <v/>
      </c>
      <c r="F36" s="40">
        <f>IF(F6=0,"",IF(F30&lt;&gt;"",2,MAX(IF(F32&lt;&gt;"",INDEX(Lookups!$R$5:$R$12,MATCH(Inputs!$C$9,Lookups!$N$5:$N$12,0)),INDEX(Lookups!$U$5:$U$12,MATCH(Inputs!$C$9,Lookups!$N$5:$N$12,0))),IF(Inputs!$C$40&lt;&gt;"",2,Assumptions!$Q$43))))</f>
        <v/>
      </c>
      <c r="G36" s="40">
        <f>IF(G6=0,"",IF(G30&lt;&gt;"",2,MAX(IF(G32&lt;&gt;"",INDEX(Lookups!$R$5:$R$12,MATCH(Inputs!$D$9,Lookups!$N$5:$N$12,0)),INDEX(Lookups!$U$5:$U$12,MATCH(Inputs!$D$9,Lookups!$N$5:$N$12,0))),IF(Inputs!$D$40&lt;&gt;"",2,Assumptions!$Q$43))))</f>
        <v/>
      </c>
      <c r="H36" s="40">
        <f>IF(H6=0,"",IF(H30&lt;&gt;"",2,MAX(IF(H32&lt;&gt;"",INDEX(Lookups!$R$5:$R$12,MATCH(Inputs!$D$9,Lookups!$N$5:$N$12,0)),INDEX(Lookups!$U$5:$U$12,MATCH(Inputs!$D$9,Lookups!$N$5:$N$12,0))),IF(Inputs!$D$40&lt;&gt;"",2,Assumptions!$Q$43))))</f>
        <v/>
      </c>
      <c r="I36" s="40">
        <f>IF(I6=0,"",IF(I30&lt;&gt;"",2,MAX(IF(I32&lt;&gt;"",INDEX(Lookups!$R$5:$R$12,MATCH(Inputs!$D$9,Lookups!$N$5:$N$12,0)),INDEX(Lookups!$U$5:$U$12,MATCH(Inputs!$D$9,Lookups!$N$5:$N$12,0))),IF(Inputs!$D$40&lt;&gt;"",2,Assumptions!$Q$43))))</f>
        <v/>
      </c>
      <c r="J36" s="40">
        <f>IF(J6=0,"",IF(J30&lt;&gt;"",2,MAX(IF(J32&lt;&gt;"",INDEX(Lookups!$R$5:$R$12,MATCH(Inputs!$E$9,Lookups!$N$5:$N$12,0)),INDEX(Lookups!$U$5:$U$12,MATCH(Inputs!$E$9,Lookups!$N$5:$N$12,0))),IF(Inputs!$E$40&lt;&gt;"",2,Assumptions!$Q$43))))</f>
        <v/>
      </c>
      <c r="K36" s="40">
        <f>IF(K6=0,"",IF(K30&lt;&gt;"",2,MAX(IF(K32&lt;&gt;"",INDEX(Lookups!$R$5:$R$12,MATCH(Inputs!$E$9,Lookups!$N$5:$N$12,0)),INDEX(Lookups!$U$5:$U$12,MATCH(Inputs!$E$9,Lookups!$N$5:$N$12,0))),IF(Inputs!$E$40&lt;&gt;"",2,Assumptions!$Q$43))))</f>
        <v/>
      </c>
      <c r="L36" s="40">
        <f>IF(L6=0,"",IF(L30&lt;&gt;"",2,MAX(IF(L32&lt;&gt;"",INDEX(Lookups!$R$5:$R$12,MATCH(Inputs!$E$9,Lookups!$N$5:$N$12,0)),INDEX(Lookups!$U$5:$U$12,MATCH(Inputs!$E$9,Lookups!$N$5:$N$12,0))),IF(Inputs!$E$40&lt;&gt;"",2,Assumptions!$Q$43))))</f>
        <v/>
      </c>
      <c r="M36" s="40">
        <f>IF(M6=0,"",IF(M30&lt;&gt;"",2,MAX(IF(M32&lt;&gt;"",INDEX(Lookups!$R$5:$R$12,MATCH(Inputs!$F$9,Lookups!$N$5:$N$12,0)),INDEX(Lookups!$U$5:$U$12,MATCH(Inputs!$F$9,Lookups!$N$5:$N$12,0))),IF(Inputs!$F$40&lt;&gt;"",2,Assumptions!$Q$43))))</f>
        <v/>
      </c>
      <c r="N36" s="40">
        <f>IF(N6=0,"",IF(N30&lt;&gt;"",2,MAX(IF(N32&lt;&gt;"",INDEX(Lookups!$R$5:$R$12,MATCH(Inputs!$F$9,Lookups!$N$5:$N$12,0)),INDEX(Lookups!$U$5:$U$12,MATCH(Inputs!$F$9,Lookups!$N$5:$N$12,0))),IF(Inputs!$F$40&lt;&gt;"",2,Assumptions!$Q$43))))</f>
        <v/>
      </c>
      <c r="O36" s="40">
        <f>IF(O6=0,"",IF(O30&lt;&gt;"",2,MAX(IF(O32&lt;&gt;"",INDEX(Lookups!$R$5:$R$12,MATCH(Inputs!$F$9,Lookups!$N$5:$N$12,0)),INDEX(Lookups!$U$5:$U$12,MATCH(Inputs!$F$9,Lookups!$N$5:$N$12,0))),IF(Inputs!$F$40&lt;&gt;"",2,Assumptions!$Q$43))))</f>
        <v/>
      </c>
      <c r="P36" s="40">
        <f>IF(P6=0,"",IF(P30&lt;&gt;"",2,MAX(IF(P32&lt;&gt;"",INDEX(Lookups!$R$5:$R$12,MATCH(Inputs!$G$9,Lookups!$N$5:$N$12,0)),INDEX(Lookups!$U$5:$U$12,MATCH(Inputs!$G$9,Lookups!$N$5:$N$12,0))),IF(Inputs!$G$40&lt;&gt;"",2,Assumptions!$Q$43))))</f>
        <v/>
      </c>
      <c r="Q36" s="40">
        <f>IF(Q6=0,"",IF(Q30&lt;&gt;"",2,MAX(IF(Q32&lt;&gt;"",INDEX(Lookups!$R$5:$R$12,MATCH(Inputs!$G$9,Lookups!$N$5:$N$12,0)),INDEX(Lookups!$U$5:$U$12,MATCH(Inputs!$G$9,Lookups!$N$5:$N$12,0))),IF(Inputs!$G$40&lt;&gt;"",2,Assumptions!$Q$43))))</f>
        <v/>
      </c>
      <c r="R36" s="40">
        <f>IF(R6=0,"",IF(R30&lt;&gt;"",2,MAX(IF(R32&lt;&gt;"",INDEX(Lookups!$R$5:$R$12,MATCH(Inputs!$G$9,Lookups!$N$5:$N$12,0)),INDEX(Lookups!$U$5:$U$12,MATCH(Inputs!$G$9,Lookups!$N$5:$N$12,0))),IF(Inputs!$G$40&lt;&gt;"",2,Assumptions!$Q$43))))</f>
        <v/>
      </c>
    </row>
    <row r="37">
      <c r="B37" s="4" t="inlineStr">
        <is>
          <t>Displacement, Gateshead</t>
        </is>
      </c>
      <c r="C37" s="5" t="inlineStr">
        <is>
          <t>%</t>
        </is>
      </c>
      <c r="D37" s="40">
        <f>IF(D6=0,"",INDEX(Lookups!$Z$5:$Z$12,MATCH(Inputs!$C$9,Lookups!$N$5:$N$12,0)))</f>
        <v/>
      </c>
      <c r="E37" s="40">
        <f>IF(E6=0,"",INDEX(Lookups!$AA$5:$AA$12,MATCH(Inputs!$C$9,Lookups!$N$5:$N$12,0)))</f>
        <v/>
      </c>
      <c r="F37" s="40">
        <f>IF(F6=0,"",INDEX(Lookups!$AB$5:$AB$12,MATCH(Inputs!$C$9,Lookups!$N$5:$N$12,0)))</f>
        <v/>
      </c>
      <c r="G37" s="40">
        <f>IF(G6=0,"",INDEX(Lookups!$Z$5:$Z$12,MATCH(Inputs!$D$9,Lookups!$N$5:$N$12,0)))</f>
        <v/>
      </c>
      <c r="H37" s="40">
        <f>IF(H6=0,"",INDEX(Lookups!$AA$5:$AA$12,MATCH(Inputs!$D$9,Lookups!$N$5:$N$12,0)))</f>
        <v/>
      </c>
      <c r="I37" s="40">
        <f>IF(I6=0,"",INDEX(Lookups!$AB$5:$AB$12,MATCH(Inputs!$D$9,Lookups!$N$5:$N$12,0)))</f>
        <v/>
      </c>
      <c r="J37" s="40">
        <f>IF(J6=0,"",INDEX(Lookups!$Z$5:$Z$12,MATCH(Inputs!$E$9,Lookups!$N$5:$N$12,0)))</f>
        <v/>
      </c>
      <c r="K37" s="40">
        <f>IF(K6=0,"",INDEX(Lookups!$AA$5:$AA$12,MATCH(Inputs!$E$9,Lookups!$N$5:$N$12,0)))</f>
        <v/>
      </c>
      <c r="L37" s="40">
        <f>IF(L6=0,"",INDEX(Lookups!$AB$5:$AB$12,MATCH(Inputs!$E$9,Lookups!$N$5:$N$12,0)))</f>
        <v/>
      </c>
      <c r="M37" s="40">
        <f>IF(M6=0,"",INDEX(Lookups!$Z$5:$Z$12,MATCH(Inputs!$F$9,Lookups!$N$5:$N$12,0)))</f>
        <v/>
      </c>
      <c r="N37" s="40">
        <f>IF(N6=0,"",INDEX(Lookups!$AA$5:$AA$12,MATCH(Inputs!$F$9,Lookups!$N$5:$N$12,0)))</f>
        <v/>
      </c>
      <c r="O37" s="40">
        <f>IF(O6=0,"",INDEX(Lookups!$AB$5:$AB$12,MATCH(Inputs!$F$9,Lookups!$N$5:$N$12,0)))</f>
        <v/>
      </c>
      <c r="P37" s="40">
        <f>IF(P6=0,"",INDEX(Lookups!$Z$5:$Z$12,MATCH(Inputs!$G$9,Lookups!$N$5:$N$12,0)))</f>
        <v/>
      </c>
      <c r="Q37" s="40">
        <f>IF(Q6=0,"",INDEX(Lookups!$AA$5:$AA$12,MATCH(Inputs!$G$9,Lookups!$N$5:$N$12,0)))</f>
        <v/>
      </c>
      <c r="R37" s="40">
        <f>IF(R6=0,"",INDEX(Lookups!$AB$5:$AB$12,MATCH(Inputs!$G$9,Lookups!$N$5:$N$12,0)))</f>
        <v/>
      </c>
    </row>
    <row r="38">
      <c r="B38" s="4" t="inlineStr">
        <is>
          <t>Net FTE, Gateshead</t>
        </is>
      </c>
      <c r="C38" s="5" t="inlineStr">
        <is>
          <t>FTE</t>
        </is>
      </c>
      <c r="D38" s="44">
        <f>IF(D6=0,"",D35*D25*(1-D37/100)*Assumptions!$N$58)</f>
        <v/>
      </c>
      <c r="E38" s="44">
        <f>IF(E6=0,"",E35*E25*(1-E37/100)*Assumptions!$O$58)</f>
        <v/>
      </c>
      <c r="F38" s="44">
        <f>IF(F6=0,"",F35*F25*(1-F37/100)*Assumptions!$P$58)</f>
        <v/>
      </c>
      <c r="G38" s="44">
        <f>IF(G6=0,"",G35*G25*(1-G37/100)*Assumptions!$N$58)</f>
        <v/>
      </c>
      <c r="H38" s="44">
        <f>IF(H6=0,"",H35*H25*(1-H37/100)*Assumptions!$O$58)</f>
        <v/>
      </c>
      <c r="I38" s="44">
        <f>IF(I6=0,"",I35*I25*(1-I37/100)*Assumptions!$P$58)</f>
        <v/>
      </c>
      <c r="J38" s="44">
        <f>IF(J6=0,"",J35*J25*(1-J37/100)*Assumptions!$N$58)</f>
        <v/>
      </c>
      <c r="K38" s="44">
        <f>IF(K6=0,"",K35*K25*(1-K37/100)*Assumptions!$O$58)</f>
        <v/>
      </c>
      <c r="L38" s="44">
        <f>IF(L6=0,"",L35*L25*(1-L37/100)*Assumptions!$P$58)</f>
        <v/>
      </c>
      <c r="M38" s="44">
        <f>IF(M6=0,"",M35*M25*(1-M37/100)*Assumptions!$N$58)</f>
        <v/>
      </c>
      <c r="N38" s="44">
        <f>IF(N6=0,"",N35*N25*(1-N37/100)*Assumptions!$O$58)</f>
        <v/>
      </c>
      <c r="O38" s="44">
        <f>IF(O6=0,"",O35*O25*(1-O37/100)*Assumptions!$P$58)</f>
        <v/>
      </c>
      <c r="P38" s="44">
        <f>IF(P6=0,"",P35*P25*(1-P37/100)*Assumptions!$N$58)</f>
        <v/>
      </c>
      <c r="Q38" s="44">
        <f>IF(Q6=0,"",Q35*Q25*(1-Q37/100)*Assumptions!$O$58)</f>
        <v/>
      </c>
      <c r="R38" s="44">
        <f>IF(R6=0,"",R35*R25*(1-R37/100)*Assumptions!$P$58)</f>
        <v/>
      </c>
    </row>
    <row r="39">
      <c r="B39" s="4" t="inlineStr">
        <is>
          <t>Displacement, NEMSA</t>
        </is>
      </c>
      <c r="C39" s="5" t="inlineStr">
        <is>
          <t>%</t>
        </is>
      </c>
      <c r="D39" s="40">
        <f>IF(D6=0,"",INDEX(Lookups!$AC$5:$AC$12,MATCH(Inputs!$C$9,Lookups!$N$5:$N$12,0)))</f>
        <v/>
      </c>
      <c r="E39" s="40">
        <f>IF(E6=0,"",INDEX(Lookups!$AD$5:$AD$12,MATCH(Inputs!$C$9,Lookups!$N$5:$N$12,0)))</f>
        <v/>
      </c>
      <c r="F39" s="40">
        <f>IF(F6=0,"",INDEX(Lookups!$AE$5:$AE$12,MATCH(Inputs!$C$9,Lookups!$N$5:$N$12,0)))</f>
        <v/>
      </c>
      <c r="G39" s="40">
        <f>IF(G6=0,"",INDEX(Lookups!$AC$5:$AC$12,MATCH(Inputs!$D$9,Lookups!$N$5:$N$12,0)))</f>
        <v/>
      </c>
      <c r="H39" s="40">
        <f>IF(H6=0,"",INDEX(Lookups!$AD$5:$AD$12,MATCH(Inputs!$D$9,Lookups!$N$5:$N$12,0)))</f>
        <v/>
      </c>
      <c r="I39" s="40">
        <f>IF(I6=0,"",INDEX(Lookups!$AE$5:$AE$12,MATCH(Inputs!$D$9,Lookups!$N$5:$N$12,0)))</f>
        <v/>
      </c>
      <c r="J39" s="40">
        <f>IF(J6=0,"",INDEX(Lookups!$AC$5:$AC$12,MATCH(Inputs!$E$9,Lookups!$N$5:$N$12,0)))</f>
        <v/>
      </c>
      <c r="K39" s="40">
        <f>IF(K6=0,"",INDEX(Lookups!$AD$5:$AD$12,MATCH(Inputs!$E$9,Lookups!$N$5:$N$12,0)))</f>
        <v/>
      </c>
      <c r="L39" s="40">
        <f>IF(L6=0,"",INDEX(Lookups!$AE$5:$AE$12,MATCH(Inputs!$E$9,Lookups!$N$5:$N$12,0)))</f>
        <v/>
      </c>
      <c r="M39" s="40">
        <f>IF(M6=0,"",INDEX(Lookups!$AC$5:$AC$12,MATCH(Inputs!$F$9,Lookups!$N$5:$N$12,0)))</f>
        <v/>
      </c>
      <c r="N39" s="40">
        <f>IF(N6=0,"",INDEX(Lookups!$AD$5:$AD$12,MATCH(Inputs!$F$9,Lookups!$N$5:$N$12,0)))</f>
        <v/>
      </c>
      <c r="O39" s="40">
        <f>IF(O6=0,"",INDEX(Lookups!$AE$5:$AE$12,MATCH(Inputs!$F$9,Lookups!$N$5:$N$12,0)))</f>
        <v/>
      </c>
      <c r="P39" s="40">
        <f>IF(P6=0,"",INDEX(Lookups!$AC$5:$AC$12,MATCH(Inputs!$G$9,Lookups!$N$5:$N$12,0)))</f>
        <v/>
      </c>
      <c r="Q39" s="40">
        <f>IF(Q6=0,"",INDEX(Lookups!$AD$5:$AD$12,MATCH(Inputs!$G$9,Lookups!$N$5:$N$12,0)))</f>
        <v/>
      </c>
      <c r="R39" s="40">
        <f>IF(R6=0,"",INDEX(Lookups!$AE$5:$AE$12,MATCH(Inputs!$G$9,Lookups!$N$5:$N$12,0)))</f>
        <v/>
      </c>
    </row>
    <row r="40">
      <c r="B40" s="4" t="inlineStr">
        <is>
          <t>Net FTE, NEMSA</t>
        </is>
      </c>
      <c r="C40" s="5" t="inlineStr">
        <is>
          <t>FTE</t>
        </is>
      </c>
      <c r="D40" s="44">
        <f>IF(D6=0,"",D35*D25*(1-D39/100)*Assumptions!$N$70)</f>
        <v/>
      </c>
      <c r="E40" s="44">
        <f>IF(E6=0,"",E35*E25*(1-E39/100)*Assumptions!$O$70)</f>
        <v/>
      </c>
      <c r="F40" s="44">
        <f>IF(F6=0,"",F35*F25*(1-F39/100)*Assumptions!$P$70)</f>
        <v/>
      </c>
      <c r="G40" s="44">
        <f>IF(G6=0,"",G35*G25*(1-G39/100)*Assumptions!$N$70)</f>
        <v/>
      </c>
      <c r="H40" s="44">
        <f>IF(H6=0,"",H35*H25*(1-H39/100)*Assumptions!$O$70)</f>
        <v/>
      </c>
      <c r="I40" s="44">
        <f>IF(I6=0,"",I35*I25*(1-I39/100)*Assumptions!$P$70)</f>
        <v/>
      </c>
      <c r="J40" s="44">
        <f>IF(J6=0,"",J35*J25*(1-J39/100)*Assumptions!$N$70)</f>
        <v/>
      </c>
      <c r="K40" s="44">
        <f>IF(K6=0,"",K35*K25*(1-K39/100)*Assumptions!$O$70)</f>
        <v/>
      </c>
      <c r="L40" s="44">
        <f>IF(L6=0,"",L35*L25*(1-L39/100)*Assumptions!$P$70)</f>
        <v/>
      </c>
      <c r="M40" s="44">
        <f>IF(M6=0,"",M35*M25*(1-M39/100)*Assumptions!$N$70)</f>
        <v/>
      </c>
      <c r="N40" s="44">
        <f>IF(N6=0,"",N35*N25*(1-N39/100)*Assumptions!$O$70)</f>
        <v/>
      </c>
      <c r="O40" s="44">
        <f>IF(O6=0,"",O35*O25*(1-O39/100)*Assumptions!$P$70)</f>
        <v/>
      </c>
      <c r="P40" s="44">
        <f>IF(P6=0,"",P35*P25*(1-P39/100)*Assumptions!$N$70)</f>
        <v/>
      </c>
      <c r="Q40" s="44">
        <f>IF(Q6=0,"",Q35*Q25*(1-Q39/100)*Assumptions!$O$70)</f>
        <v/>
      </c>
      <c r="R40" s="44">
        <f>IF(R6=0,"",R35*R25*(1-R39/100)*Assumptions!$P$70)</f>
        <v/>
      </c>
    </row>
    <row r="41">
      <c r="B41" s="4" t="inlineStr">
        <is>
          <t>Net FTE, UK (full displacement, Green Book 8.41)</t>
        </is>
      </c>
      <c r="C41" s="5" t="inlineStr">
        <is>
          <t>FTE</t>
        </is>
      </c>
      <c r="D41" s="44">
        <f>IF(D6=0,"",0)</f>
        <v/>
      </c>
      <c r="E41" s="44">
        <f>IF(E6=0,"",0)</f>
        <v/>
      </c>
      <c r="F41" s="44">
        <f>IF(F6=0,"",0)</f>
        <v/>
      </c>
      <c r="G41" s="44">
        <f>IF(G6=0,"",0)</f>
        <v/>
      </c>
      <c r="H41" s="44">
        <f>IF(H6=0,"",0)</f>
        <v/>
      </c>
      <c r="I41" s="44">
        <f>IF(I6=0,"",0)</f>
        <v/>
      </c>
      <c r="J41" s="44">
        <f>IF(J6=0,"",0)</f>
        <v/>
      </c>
      <c r="K41" s="44">
        <f>IF(K6=0,"",0)</f>
        <v/>
      </c>
      <c r="L41" s="44">
        <f>IF(L6=0,"",0)</f>
        <v/>
      </c>
      <c r="M41" s="44">
        <f>IF(M6=0,"",0)</f>
        <v/>
      </c>
      <c r="N41" s="44">
        <f>IF(N6=0,"",0)</f>
        <v/>
      </c>
      <c r="O41" s="44">
        <f>IF(O6=0,"",0)</f>
        <v/>
      </c>
      <c r="P41" s="44">
        <f>IF(P6=0,"",0)</f>
        <v/>
      </c>
      <c r="Q41" s="44">
        <f>IF(Q6=0,"",0)</f>
        <v/>
      </c>
      <c r="R41" s="44">
        <f>IF(R6=0,"",0)</f>
        <v/>
      </c>
    </row>
    <row r="42">
      <c r="B42" s="4" t="inlineStr">
        <is>
          <t>GVA per FTE</t>
        </is>
      </c>
      <c r="C42" s="5" t="inlineStr">
        <is>
          <t>£</t>
        </is>
      </c>
      <c r="D42" s="45">
        <f>IF(D6=0,"",INDEX(Lookups!$V$5:$V$12,MATCH(Inputs!$C$9,Lookups!$N$5:$N$12,0)))</f>
        <v/>
      </c>
      <c r="E42" s="45">
        <f>IF(E6=0,"",INDEX(Lookups!$W$5:$W$12,MATCH(Inputs!$C$9,Lookups!$N$5:$N$12,0)))</f>
        <v/>
      </c>
      <c r="F42" s="45">
        <f>IF(F6=0,"",INDEX(Lookups!$X$5:$X$12,MATCH(Inputs!$C$9,Lookups!$N$5:$N$12,0)))</f>
        <v/>
      </c>
      <c r="G42" s="45">
        <f>IF(G6=0,"",INDEX(Lookups!$V$5:$V$12,MATCH(Inputs!$D$9,Lookups!$N$5:$N$12,0)))</f>
        <v/>
      </c>
      <c r="H42" s="45">
        <f>IF(H6=0,"",INDEX(Lookups!$W$5:$W$12,MATCH(Inputs!$D$9,Lookups!$N$5:$N$12,0)))</f>
        <v/>
      </c>
      <c r="I42" s="45">
        <f>IF(I6=0,"",INDEX(Lookups!$X$5:$X$12,MATCH(Inputs!$D$9,Lookups!$N$5:$N$12,0)))</f>
        <v/>
      </c>
      <c r="J42" s="45">
        <f>IF(J6=0,"",INDEX(Lookups!$V$5:$V$12,MATCH(Inputs!$E$9,Lookups!$N$5:$N$12,0)))</f>
        <v/>
      </c>
      <c r="K42" s="45">
        <f>IF(K6=0,"",INDEX(Lookups!$W$5:$W$12,MATCH(Inputs!$E$9,Lookups!$N$5:$N$12,0)))</f>
        <v/>
      </c>
      <c r="L42" s="45">
        <f>IF(L6=0,"",INDEX(Lookups!$X$5:$X$12,MATCH(Inputs!$E$9,Lookups!$N$5:$N$12,0)))</f>
        <v/>
      </c>
      <c r="M42" s="45">
        <f>IF(M6=0,"",INDEX(Lookups!$V$5:$V$12,MATCH(Inputs!$F$9,Lookups!$N$5:$N$12,0)))</f>
        <v/>
      </c>
      <c r="N42" s="45">
        <f>IF(N6=0,"",INDEX(Lookups!$W$5:$W$12,MATCH(Inputs!$F$9,Lookups!$N$5:$N$12,0)))</f>
        <v/>
      </c>
      <c r="O42" s="45">
        <f>IF(O6=0,"",INDEX(Lookups!$X$5:$X$12,MATCH(Inputs!$F$9,Lookups!$N$5:$N$12,0)))</f>
        <v/>
      </c>
      <c r="P42" s="45">
        <f>IF(P6=0,"",INDEX(Lookups!$V$5:$V$12,MATCH(Inputs!$G$9,Lookups!$N$5:$N$12,0)))</f>
        <v/>
      </c>
      <c r="Q42" s="45">
        <f>IF(Q6=0,"",INDEX(Lookups!$W$5:$W$12,MATCH(Inputs!$G$9,Lookups!$N$5:$N$12,0)))</f>
        <v/>
      </c>
      <c r="R42" s="45">
        <f>IF(R6=0,"",INDEX(Lookups!$X$5:$X$12,MATCH(Inputs!$G$9,Lookups!$N$5:$N$12,0)))</f>
        <v/>
      </c>
    </row>
    <row r="43">
      <c r="B43" s="4" t="inlineStr">
        <is>
          <t>Grade of the GVA estimate</t>
        </is>
      </c>
      <c r="C43" s="5" t="inlineStr"/>
      <c r="D43" s="40">
        <f>IF(D6=0,"",MAX(D36,INDEX(Lookups!$Y$5:$Y$12,MATCH(Inputs!$C$9,Lookups!$N$5:$N$12,0))))</f>
        <v/>
      </c>
      <c r="E43" s="40">
        <f>IF(E6=0,"",MAX(E36,INDEX(Lookups!$Y$5:$Y$12,MATCH(Inputs!$C$9,Lookups!$N$5:$N$12,0))))</f>
        <v/>
      </c>
      <c r="F43" s="40">
        <f>IF(F6=0,"",MAX(F36,INDEX(Lookups!$Y$5:$Y$12,MATCH(Inputs!$C$9,Lookups!$N$5:$N$12,0))))</f>
        <v/>
      </c>
      <c r="G43" s="40">
        <f>IF(G6=0,"",MAX(G36,INDEX(Lookups!$Y$5:$Y$12,MATCH(Inputs!$D$9,Lookups!$N$5:$N$12,0))))</f>
        <v/>
      </c>
      <c r="H43" s="40">
        <f>IF(H6=0,"",MAX(H36,INDEX(Lookups!$Y$5:$Y$12,MATCH(Inputs!$D$9,Lookups!$N$5:$N$12,0))))</f>
        <v/>
      </c>
      <c r="I43" s="40">
        <f>IF(I6=0,"",MAX(I36,INDEX(Lookups!$Y$5:$Y$12,MATCH(Inputs!$D$9,Lookups!$N$5:$N$12,0))))</f>
        <v/>
      </c>
      <c r="J43" s="40">
        <f>IF(J6=0,"",MAX(J36,INDEX(Lookups!$Y$5:$Y$12,MATCH(Inputs!$E$9,Lookups!$N$5:$N$12,0))))</f>
        <v/>
      </c>
      <c r="K43" s="40">
        <f>IF(K6=0,"",MAX(K36,INDEX(Lookups!$Y$5:$Y$12,MATCH(Inputs!$E$9,Lookups!$N$5:$N$12,0))))</f>
        <v/>
      </c>
      <c r="L43" s="40">
        <f>IF(L6=0,"",MAX(L36,INDEX(Lookups!$Y$5:$Y$12,MATCH(Inputs!$E$9,Lookups!$N$5:$N$12,0))))</f>
        <v/>
      </c>
      <c r="M43" s="40">
        <f>IF(M6=0,"",MAX(M36,INDEX(Lookups!$Y$5:$Y$12,MATCH(Inputs!$F$9,Lookups!$N$5:$N$12,0))))</f>
        <v/>
      </c>
      <c r="N43" s="40">
        <f>IF(N6=0,"",MAX(N36,INDEX(Lookups!$Y$5:$Y$12,MATCH(Inputs!$F$9,Lookups!$N$5:$N$12,0))))</f>
        <v/>
      </c>
      <c r="O43" s="40">
        <f>IF(O6=0,"",MAX(O36,INDEX(Lookups!$Y$5:$Y$12,MATCH(Inputs!$F$9,Lookups!$N$5:$N$12,0))))</f>
        <v/>
      </c>
      <c r="P43" s="40">
        <f>IF(P6=0,"",MAX(P36,INDEX(Lookups!$Y$5:$Y$12,MATCH(Inputs!$G$9,Lookups!$N$5:$N$12,0))))</f>
        <v/>
      </c>
      <c r="Q43" s="40">
        <f>IF(Q6=0,"",MAX(Q36,INDEX(Lookups!$Y$5:$Y$12,MATCH(Inputs!$G$9,Lookups!$N$5:$N$12,0))))</f>
        <v/>
      </c>
      <c r="R43" s="40">
        <f>IF(R6=0,"",MAX(R36,INDEX(Lookups!$Y$5:$Y$12,MATCH(Inputs!$G$9,Lookups!$N$5:$N$12,0))))</f>
        <v/>
      </c>
    </row>
    <row r="44">
      <c r="B44" s="4" t="inlineStr">
        <is>
          <t>GVA supported in Gateshead over the period (present value, after optimism bias)</t>
        </is>
      </c>
      <c r="C44" s="5" t="inlineStr">
        <is>
          <t>£</t>
        </is>
      </c>
      <c r="D44" s="45">
        <f>IF(D6=0,"",D38*D42*D14*(1-CHOOSE(D43,0,0.05,0.1,0.15,0.25,0.4)))</f>
        <v/>
      </c>
      <c r="E44" s="45">
        <f>IF(E6=0,"",E38*E42*E14*(1-CHOOSE(E43,0,0.05,0.1,0.15,0.25,0.4)))</f>
        <v/>
      </c>
      <c r="F44" s="45">
        <f>IF(F6=0,"",F38*F42*F14*(1-CHOOSE(F43,0,0.05,0.1,0.15,0.25,0.4)))</f>
        <v/>
      </c>
      <c r="G44" s="45">
        <f>IF(G6=0,"",G38*G42*G14*(1-CHOOSE(G43,0,0.05,0.1,0.15,0.25,0.4)))</f>
        <v/>
      </c>
      <c r="H44" s="45">
        <f>IF(H6=0,"",H38*H42*H14*(1-CHOOSE(H43,0,0.05,0.1,0.15,0.25,0.4)))</f>
        <v/>
      </c>
      <c r="I44" s="45">
        <f>IF(I6=0,"",I38*I42*I14*(1-CHOOSE(I43,0,0.05,0.1,0.15,0.25,0.4)))</f>
        <v/>
      </c>
      <c r="J44" s="45">
        <f>IF(J6=0,"",J38*J42*J14*(1-CHOOSE(J43,0,0.05,0.1,0.15,0.25,0.4)))</f>
        <v/>
      </c>
      <c r="K44" s="45">
        <f>IF(K6=0,"",K38*K42*K14*(1-CHOOSE(K43,0,0.05,0.1,0.15,0.25,0.4)))</f>
        <v/>
      </c>
      <c r="L44" s="45">
        <f>IF(L6=0,"",L38*L42*L14*(1-CHOOSE(L43,0,0.05,0.1,0.15,0.25,0.4)))</f>
        <v/>
      </c>
      <c r="M44" s="45">
        <f>IF(M6=0,"",M38*M42*M14*(1-CHOOSE(M43,0,0.05,0.1,0.15,0.25,0.4)))</f>
        <v/>
      </c>
      <c r="N44" s="45">
        <f>IF(N6=0,"",N38*N42*N14*(1-CHOOSE(N43,0,0.05,0.1,0.15,0.25,0.4)))</f>
        <v/>
      </c>
      <c r="O44" s="45">
        <f>IF(O6=0,"",O38*O42*O14*(1-CHOOSE(O43,0,0.05,0.1,0.15,0.25,0.4)))</f>
        <v/>
      </c>
      <c r="P44" s="45">
        <f>IF(P6=0,"",P38*P42*P14*(1-CHOOSE(P43,0,0.05,0.1,0.15,0.25,0.4)))</f>
        <v/>
      </c>
      <c r="Q44" s="45">
        <f>IF(Q6=0,"",Q38*Q42*Q14*(1-CHOOSE(Q43,0,0.05,0.1,0.15,0.25,0.4)))</f>
        <v/>
      </c>
      <c r="R44" s="45">
        <f>IF(R6=0,"",R38*R42*R14*(1-CHOOSE(R43,0,0.05,0.1,0.15,0.25,0.4)))</f>
        <v/>
      </c>
    </row>
    <row r="45">
      <c r="B45" s="4" t="inlineStr">
        <is>
          <t>Gross FTE per business or group hosted</t>
        </is>
      </c>
      <c r="C45" s="5" t="inlineStr">
        <is>
          <t>FTE</t>
        </is>
      </c>
      <c r="D45" s="41">
        <f>IF(D6=0,"",D35/MAX(1,N(Inputs!$C$49)))</f>
        <v/>
      </c>
      <c r="E45" s="41">
        <f>IF(E6=0,"",E35/MAX(1,N(Inputs!$C$49)))</f>
        <v/>
      </c>
      <c r="F45" s="41">
        <f>IF(F6=0,"",F35/MAX(1,N(Inputs!$C$49)))</f>
        <v/>
      </c>
      <c r="G45" s="41">
        <f>IF(G6=0,"",G35/MAX(1,N(Inputs!$D$49)))</f>
        <v/>
      </c>
      <c r="H45" s="41">
        <f>IF(H6=0,"",H35/MAX(1,N(Inputs!$D$49)))</f>
        <v/>
      </c>
      <c r="I45" s="41">
        <f>IF(I6=0,"",I35/MAX(1,N(Inputs!$D$49)))</f>
        <v/>
      </c>
      <c r="J45" s="41">
        <f>IF(J6=0,"",J35/MAX(1,N(Inputs!$E$49)))</f>
        <v/>
      </c>
      <c r="K45" s="41">
        <f>IF(K6=0,"",K35/MAX(1,N(Inputs!$E$49)))</f>
        <v/>
      </c>
      <c r="L45" s="41">
        <f>IF(L6=0,"",L35/MAX(1,N(Inputs!$E$49)))</f>
        <v/>
      </c>
      <c r="M45" s="41">
        <f>IF(M6=0,"",M35/MAX(1,N(Inputs!$F$49)))</f>
        <v/>
      </c>
      <c r="N45" s="41">
        <f>IF(N6=0,"",N35/MAX(1,N(Inputs!$F$49)))</f>
        <v/>
      </c>
      <c r="O45" s="41">
        <f>IF(O6=0,"",O35/MAX(1,N(Inputs!$F$49)))</f>
        <v/>
      </c>
      <c r="P45" s="41">
        <f>IF(P6=0,"",P35/MAX(1,N(Inputs!$G$49)))</f>
        <v/>
      </c>
      <c r="Q45" s="41">
        <f>IF(Q6=0,"",Q35/MAX(1,N(Inputs!$G$49)))</f>
        <v/>
      </c>
      <c r="R45" s="41">
        <f>IF(R6=0,"",R35/MAX(1,N(Inputs!$G$49)))</f>
        <v/>
      </c>
    </row>
    <row r="46">
      <c r="B46" s="7" t="inlineStr">
        <is>
          <t>Value of the space</t>
        </is>
      </c>
      <c r="D46" s="8" t="n"/>
      <c r="E46" s="8" t="n"/>
      <c r="F46" s="8" t="n"/>
      <c r="G46" s="8" t="n"/>
      <c r="H46" s="8" t="n"/>
      <c r="I46" s="8" t="n"/>
      <c r="J46" s="8" t="n"/>
      <c r="K46" s="8" t="n"/>
      <c r="L46" s="8" t="n"/>
      <c r="M46" s="8" t="n"/>
      <c r="N46" s="8" t="n"/>
      <c r="O46" s="8" t="n"/>
      <c r="P46" s="8" t="n"/>
      <c r="Q46" s="8" t="n"/>
      <c r="R46" s="8" t="n"/>
    </row>
    <row r="47">
      <c r="B47" s="4" t="inlineStr">
        <is>
          <t>Market rent (rateable value uprated)</t>
        </is>
      </c>
      <c r="C47" s="5" t="inlineStr">
        <is>
          <t>£ a year</t>
        </is>
      </c>
      <c r="D47" s="45">
        <f>IF(D6=0,"",Inputs!$C$13*Assumptions!$O$33)</f>
        <v/>
      </c>
      <c r="E47" s="45">
        <f>IF(E6=0,"",Inputs!$C$13*Assumptions!$O$33)</f>
        <v/>
      </c>
      <c r="F47" s="45">
        <f>IF(F6=0,"",Inputs!$C$13*Assumptions!$O$33)</f>
        <v/>
      </c>
      <c r="G47" s="45">
        <f>IF(G6=0,"",Inputs!$D$13*Assumptions!$O$33)</f>
        <v/>
      </c>
      <c r="H47" s="45">
        <f>IF(H6=0,"",Inputs!$D$13*Assumptions!$O$33)</f>
        <v/>
      </c>
      <c r="I47" s="45">
        <f>IF(I6=0,"",Inputs!$D$13*Assumptions!$O$33)</f>
        <v/>
      </c>
      <c r="J47" s="45">
        <f>IF(J6=0,"",Inputs!$E$13*Assumptions!$O$33)</f>
        <v/>
      </c>
      <c r="K47" s="45">
        <f>IF(K6=0,"",Inputs!$E$13*Assumptions!$O$33)</f>
        <v/>
      </c>
      <c r="L47" s="45">
        <f>IF(L6=0,"",Inputs!$E$13*Assumptions!$O$33)</f>
        <v/>
      </c>
      <c r="M47" s="45">
        <f>IF(M6=0,"",Inputs!$F$13*Assumptions!$O$33)</f>
        <v/>
      </c>
      <c r="N47" s="45">
        <f>IF(N6=0,"",Inputs!$F$13*Assumptions!$O$33)</f>
        <v/>
      </c>
      <c r="O47" s="45">
        <f>IF(O6=0,"",Inputs!$F$13*Assumptions!$O$33)</f>
        <v/>
      </c>
      <c r="P47" s="45">
        <f>IF(P6=0,"",Inputs!$G$13*Assumptions!$O$33)</f>
        <v/>
      </c>
      <c r="Q47" s="45">
        <f>IF(Q6=0,"",Inputs!$G$13*Assumptions!$O$33)</f>
        <v/>
      </c>
      <c r="R47" s="45">
        <f>IF(R6=0,"",Inputs!$G$13*Assumptions!$O$33)</f>
        <v/>
      </c>
    </row>
    <row r="48">
      <c r="B48" s="4" t="inlineStr">
        <is>
          <t>Lower of rent paid and market rent</t>
        </is>
      </c>
      <c r="C48" s="5" t="inlineStr">
        <is>
          <t>£ a year</t>
        </is>
      </c>
      <c r="D48" s="45">
        <f>IF(D6=0,"",MIN(N(Inputs!$C$22),D47))</f>
        <v/>
      </c>
      <c r="E48" s="45">
        <f>IF(E6=0,"",MIN(N(Inputs!$C$22),E47))</f>
        <v/>
      </c>
      <c r="F48" s="45">
        <f>IF(F6=0,"",MIN(N(Inputs!$C$22),F47))</f>
        <v/>
      </c>
      <c r="G48" s="45">
        <f>IF(G6=0,"",MIN(N(Inputs!$D$22),G47))</f>
        <v/>
      </c>
      <c r="H48" s="45">
        <f>IF(H6=0,"",MIN(N(Inputs!$D$22),H47))</f>
        <v/>
      </c>
      <c r="I48" s="45">
        <f>IF(I6=0,"",MIN(N(Inputs!$D$22),I47))</f>
        <v/>
      </c>
      <c r="J48" s="45">
        <f>IF(J6=0,"",MIN(N(Inputs!$E$22),J47))</f>
        <v/>
      </c>
      <c r="K48" s="45">
        <f>IF(K6=0,"",MIN(N(Inputs!$E$22),K47))</f>
        <v/>
      </c>
      <c r="L48" s="45">
        <f>IF(L6=0,"",MIN(N(Inputs!$E$22),L47))</f>
        <v/>
      </c>
      <c r="M48" s="45">
        <f>IF(M6=0,"",MIN(N(Inputs!$F$22),M47))</f>
        <v/>
      </c>
      <c r="N48" s="45">
        <f>IF(N6=0,"",MIN(N(Inputs!$F$22),N47))</f>
        <v/>
      </c>
      <c r="O48" s="45">
        <f>IF(O6=0,"",MIN(N(Inputs!$F$22),O47))</f>
        <v/>
      </c>
      <c r="P48" s="45">
        <f>IF(P6=0,"",MIN(N(Inputs!$G$22),P47))</f>
        <v/>
      </c>
      <c r="Q48" s="45">
        <f>IF(Q6=0,"",MIN(N(Inputs!$G$22),Q47))</f>
        <v/>
      </c>
      <c r="R48" s="45">
        <f>IF(R6=0,"",MIN(N(Inputs!$G$22),R47))</f>
        <v/>
      </c>
    </row>
    <row r="49">
      <c r="B49" s="4" t="inlineStr">
        <is>
          <t>Higher of rent paid and market rent</t>
        </is>
      </c>
      <c r="C49" s="5" t="inlineStr">
        <is>
          <t>£ a year</t>
        </is>
      </c>
      <c r="D49" s="45">
        <f>IF(D6=0,"",MAX(N(Inputs!$C$22),D47))</f>
        <v/>
      </c>
      <c r="E49" s="45">
        <f>IF(E6=0,"",MAX(N(Inputs!$C$22),E47))</f>
        <v/>
      </c>
      <c r="F49" s="45">
        <f>IF(F6=0,"",MAX(N(Inputs!$C$22),F47))</f>
        <v/>
      </c>
      <c r="G49" s="45">
        <f>IF(G6=0,"",MAX(N(Inputs!$D$22),G47))</f>
        <v/>
      </c>
      <c r="H49" s="45">
        <f>IF(H6=0,"",MAX(N(Inputs!$D$22),H47))</f>
        <v/>
      </c>
      <c r="I49" s="45">
        <f>IF(I6=0,"",MAX(N(Inputs!$D$22),I47))</f>
        <v/>
      </c>
      <c r="J49" s="45">
        <f>IF(J6=0,"",MAX(N(Inputs!$E$22),J47))</f>
        <v/>
      </c>
      <c r="K49" s="45">
        <f>IF(K6=0,"",MAX(N(Inputs!$E$22),K47))</f>
        <v/>
      </c>
      <c r="L49" s="45">
        <f>IF(L6=0,"",MAX(N(Inputs!$E$22),L47))</f>
        <v/>
      </c>
      <c r="M49" s="45">
        <f>IF(M6=0,"",MAX(N(Inputs!$F$22),M47))</f>
        <v/>
      </c>
      <c r="N49" s="45">
        <f>IF(N6=0,"",MAX(N(Inputs!$F$22),N47))</f>
        <v/>
      </c>
      <c r="O49" s="45">
        <f>IF(O6=0,"",MAX(N(Inputs!$F$22),O47))</f>
        <v/>
      </c>
      <c r="P49" s="45">
        <f>IF(P6=0,"",MAX(N(Inputs!$G$22),P47))</f>
        <v/>
      </c>
      <c r="Q49" s="45">
        <f>IF(Q6=0,"",MAX(N(Inputs!$G$22),Q47))</f>
        <v/>
      </c>
      <c r="R49" s="45">
        <f>IF(R6=0,"",MAX(N(Inputs!$G$22),R47))</f>
        <v/>
      </c>
    </row>
    <row r="50">
      <c r="B50" s="4" t="inlineStr">
        <is>
          <t>Value of the space to the occupier</t>
        </is>
      </c>
      <c r="C50" s="5" t="inlineStr">
        <is>
          <t>£ a year</t>
        </is>
      </c>
      <c r="D50" s="45">
        <f>IF(D6=0,"",CHOOSE(1,D48,(D48+D49)/2,D49))</f>
        <v/>
      </c>
      <c r="E50" s="45">
        <f>IF(E6=0,"",CHOOSE(2,E48,(E48+E49)/2,E49))</f>
        <v/>
      </c>
      <c r="F50" s="45">
        <f>IF(F6=0,"",CHOOSE(3,F48,(F48+F49)/2,F49))</f>
        <v/>
      </c>
      <c r="G50" s="45">
        <f>IF(G6=0,"",CHOOSE(1,G48,(G48+G49)/2,G49))</f>
        <v/>
      </c>
      <c r="H50" s="45">
        <f>IF(H6=0,"",CHOOSE(2,H48,(H48+H49)/2,H49))</f>
        <v/>
      </c>
      <c r="I50" s="45">
        <f>IF(I6=0,"",CHOOSE(3,I48,(I48+I49)/2,I49))</f>
        <v/>
      </c>
      <c r="J50" s="45">
        <f>IF(J6=0,"",CHOOSE(1,J48,(J48+J49)/2,J49))</f>
        <v/>
      </c>
      <c r="K50" s="45">
        <f>IF(K6=0,"",CHOOSE(2,K48,(K48+K49)/2,K49))</f>
        <v/>
      </c>
      <c r="L50" s="45">
        <f>IF(L6=0,"",CHOOSE(3,L48,(L48+L49)/2,L49))</f>
        <v/>
      </c>
      <c r="M50" s="45">
        <f>IF(M6=0,"",CHOOSE(1,M48,(M48+M49)/2,M49))</f>
        <v/>
      </c>
      <c r="N50" s="45">
        <f>IF(N6=0,"",CHOOSE(2,N48,(N48+N49)/2,N49))</f>
        <v/>
      </c>
      <c r="O50" s="45">
        <f>IF(O6=0,"",CHOOSE(3,O48,(O48+O49)/2,O49))</f>
        <v/>
      </c>
      <c r="P50" s="45">
        <f>IF(P6=0,"",CHOOSE(1,P48,(P48+P49)/2,P49))</f>
        <v/>
      </c>
      <c r="Q50" s="45">
        <f>IF(Q6=0,"",CHOOSE(2,Q48,(Q48+Q49)/2,Q49))</f>
        <v/>
      </c>
      <c r="R50" s="45">
        <f>IF(R6=0,"",CHOOSE(3,R48,(R48+R49)/2,R49))</f>
        <v/>
      </c>
    </row>
    <row r="51">
      <c r="B51" s="4" t="inlineStr">
        <is>
          <t>Additional value of the space</t>
        </is>
      </c>
      <c r="C51" s="5" t="inlineStr">
        <is>
          <t>£ a year</t>
        </is>
      </c>
      <c r="D51" s="45">
        <f>IF(D6=0,"",IF(D24=1,D50*D25,D50-D22*D47))</f>
        <v/>
      </c>
      <c r="E51" s="45">
        <f>IF(E6=0,"",IF(E24=1,E50*E25,E50-E22*E47))</f>
        <v/>
      </c>
      <c r="F51" s="45">
        <f>IF(F6=0,"",IF(F24=1,F50*F25,F50-F22*F47))</f>
        <v/>
      </c>
      <c r="G51" s="45">
        <f>IF(G6=0,"",IF(G24=1,G50*G25,G50-G22*G47))</f>
        <v/>
      </c>
      <c r="H51" s="45">
        <f>IF(H6=0,"",IF(H24=1,H50*H25,H50-H22*H47))</f>
        <v/>
      </c>
      <c r="I51" s="45">
        <f>IF(I6=0,"",IF(I24=1,I50*I25,I50-I22*I47))</f>
        <v/>
      </c>
      <c r="J51" s="45">
        <f>IF(J6=0,"",IF(J24=1,J50*J25,J50-J22*J47))</f>
        <v/>
      </c>
      <c r="K51" s="45">
        <f>IF(K6=0,"",IF(K24=1,K50*K25,K50-K22*K47))</f>
        <v/>
      </c>
      <c r="L51" s="45">
        <f>IF(L6=0,"",IF(L24=1,L50*L25,L50-L22*L47))</f>
        <v/>
      </c>
      <c r="M51" s="45">
        <f>IF(M6=0,"",IF(M24=1,M50*M25,M50-M22*M47))</f>
        <v/>
      </c>
      <c r="N51" s="45">
        <f>IF(N6=0,"",IF(N24=1,N50*N25,N50-N22*N47))</f>
        <v/>
      </c>
      <c r="O51" s="45">
        <f>IF(O6=0,"",IF(O24=1,O50*O25,O50-O22*O47))</f>
        <v/>
      </c>
      <c r="P51" s="45">
        <f>IF(P6=0,"",IF(P24=1,P50*P25,P50-P22*P47))</f>
        <v/>
      </c>
      <c r="Q51" s="45">
        <f>IF(Q6=0,"",IF(Q24=1,Q50*Q25,Q50-Q22*Q47))</f>
        <v/>
      </c>
      <c r="R51" s="45">
        <f>IF(R6=0,"",IF(R24=1,R50*R25,R50-R22*R47))</f>
        <v/>
      </c>
    </row>
    <row r="52">
      <c r="B52" s="4" t="inlineStr">
        <is>
          <t>Grade (weakest of V1, V2 and the let-anyway figure)</t>
        </is>
      </c>
      <c r="C52" s="5" t="inlineStr"/>
      <c r="D52" s="40">
        <f>IF(D6=0,"",MAX(Assumptions!$Q$31,Assumptions!$Q$32,D23))</f>
        <v/>
      </c>
      <c r="E52" s="40">
        <f>IF(E6=0,"",MAX(Assumptions!$Q$31,Assumptions!$Q$32,E23))</f>
        <v/>
      </c>
      <c r="F52" s="40">
        <f>IF(F6=0,"",MAX(Assumptions!$Q$31,Assumptions!$Q$32,F23))</f>
        <v/>
      </c>
      <c r="G52" s="40">
        <f>IF(G6=0,"",MAX(Assumptions!$Q$31,Assumptions!$Q$32,G23))</f>
        <v/>
      </c>
      <c r="H52" s="40">
        <f>IF(H6=0,"",MAX(Assumptions!$Q$31,Assumptions!$Q$32,H23))</f>
        <v/>
      </c>
      <c r="I52" s="40">
        <f>IF(I6=0,"",MAX(Assumptions!$Q$31,Assumptions!$Q$32,I23))</f>
        <v/>
      </c>
      <c r="J52" s="40">
        <f>IF(J6=0,"",MAX(Assumptions!$Q$31,Assumptions!$Q$32,J23))</f>
        <v/>
      </c>
      <c r="K52" s="40">
        <f>IF(K6=0,"",MAX(Assumptions!$Q$31,Assumptions!$Q$32,K23))</f>
        <v/>
      </c>
      <c r="L52" s="40">
        <f>IF(L6=0,"",MAX(Assumptions!$Q$31,Assumptions!$Q$32,L23))</f>
        <v/>
      </c>
      <c r="M52" s="40">
        <f>IF(M6=0,"",MAX(Assumptions!$Q$31,Assumptions!$Q$32,M23))</f>
        <v/>
      </c>
      <c r="N52" s="40">
        <f>IF(N6=0,"",MAX(Assumptions!$Q$31,Assumptions!$Q$32,N23))</f>
        <v/>
      </c>
      <c r="O52" s="40">
        <f>IF(O6=0,"",MAX(Assumptions!$Q$31,Assumptions!$Q$32,O23))</f>
        <v/>
      </c>
      <c r="P52" s="40">
        <f>IF(P6=0,"",MAX(Assumptions!$Q$31,Assumptions!$Q$32,P23))</f>
        <v/>
      </c>
      <c r="Q52" s="40">
        <f>IF(Q6=0,"",MAX(Assumptions!$Q$31,Assumptions!$Q$32,Q23))</f>
        <v/>
      </c>
      <c r="R52" s="40">
        <f>IF(R6=0,"",MAX(Assumptions!$Q$31,Assumptions!$Q$32,R23))</f>
        <v/>
      </c>
    </row>
    <row r="53">
      <c r="B53" s="4" t="inlineStr">
        <is>
          <t>Value of the space, present value after optimism bias (none on a disbenefit)</t>
        </is>
      </c>
      <c r="C53" s="5" t="inlineStr">
        <is>
          <t>£</t>
        </is>
      </c>
      <c r="D53" s="45">
        <f>IF(D6=0,"",D51*(1-IF(D51&gt;0,CHOOSE(D52,0,0.05,0.1,0.15,0.25,0.4),0))*D14)</f>
        <v/>
      </c>
      <c r="E53" s="45">
        <f>IF(E6=0,"",E51*(1-IF(E51&gt;0,CHOOSE(E52,0,0.05,0.1,0.15,0.25,0.4),0))*E14)</f>
        <v/>
      </c>
      <c r="F53" s="45">
        <f>IF(F6=0,"",F51*(1-IF(F51&gt;0,CHOOSE(F52,0,0.05,0.1,0.15,0.25,0.4),0))*F14)</f>
        <v/>
      </c>
      <c r="G53" s="45">
        <f>IF(G6=0,"",G51*(1-IF(G51&gt;0,CHOOSE(G52,0,0.05,0.1,0.15,0.25,0.4),0))*G14)</f>
        <v/>
      </c>
      <c r="H53" s="45">
        <f>IF(H6=0,"",H51*(1-IF(H51&gt;0,CHOOSE(H52,0,0.05,0.1,0.15,0.25,0.4),0))*H14)</f>
        <v/>
      </c>
      <c r="I53" s="45">
        <f>IF(I6=0,"",I51*(1-IF(I51&gt;0,CHOOSE(I52,0,0.05,0.1,0.15,0.25,0.4),0))*I14)</f>
        <v/>
      </c>
      <c r="J53" s="45">
        <f>IF(J6=0,"",J51*(1-IF(J51&gt;0,CHOOSE(J52,0,0.05,0.1,0.15,0.25,0.4),0))*J14)</f>
        <v/>
      </c>
      <c r="K53" s="45">
        <f>IF(K6=0,"",K51*(1-IF(K51&gt;0,CHOOSE(K52,0,0.05,0.1,0.15,0.25,0.4),0))*K14)</f>
        <v/>
      </c>
      <c r="L53" s="45">
        <f>IF(L6=0,"",L51*(1-IF(L51&gt;0,CHOOSE(L52,0,0.05,0.1,0.15,0.25,0.4),0))*L14)</f>
        <v/>
      </c>
      <c r="M53" s="45">
        <f>IF(M6=0,"",M51*(1-IF(M51&gt;0,CHOOSE(M52,0,0.05,0.1,0.15,0.25,0.4),0))*M14)</f>
        <v/>
      </c>
      <c r="N53" s="45">
        <f>IF(N6=0,"",N51*(1-IF(N51&gt;0,CHOOSE(N52,0,0.05,0.1,0.15,0.25,0.4),0))*N14)</f>
        <v/>
      </c>
      <c r="O53" s="45">
        <f>IF(O6=0,"",O51*(1-IF(O51&gt;0,CHOOSE(O52,0,0.05,0.1,0.15,0.25,0.4),0))*O14)</f>
        <v/>
      </c>
      <c r="P53" s="45">
        <f>IF(P6=0,"",P51*(1-IF(P51&gt;0,CHOOSE(P52,0,0.05,0.1,0.15,0.25,0.4),0))*P14)</f>
        <v/>
      </c>
      <c r="Q53" s="45">
        <f>IF(Q6=0,"",Q51*(1-IF(Q51&gt;0,CHOOSE(Q52,0,0.05,0.1,0.15,0.25,0.4),0))*Q14)</f>
        <v/>
      </c>
      <c r="R53" s="45">
        <f>IF(R6=0,"",R51*(1-IF(R51&gt;0,CHOOSE(R52,0,0.05,0.1,0.15,0.25,0.4),0))*R14)</f>
        <v/>
      </c>
    </row>
    <row r="54">
      <c r="B54" s="7" t="inlineStr">
        <is>
          <t>Social value</t>
        </is>
      </c>
      <c r="D54" s="8" t="n"/>
      <c r="E54" s="8" t="n"/>
      <c r="F54" s="8" t="n"/>
      <c r="G54" s="8" t="n"/>
      <c r="H54" s="8" t="n"/>
      <c r="I54" s="8" t="n"/>
      <c r="J54" s="8" t="n"/>
      <c r="K54" s="8" t="n"/>
      <c r="L54" s="8" t="n"/>
      <c r="M54" s="8" t="n"/>
      <c r="N54" s="8" t="n"/>
      <c r="O54" s="8" t="n"/>
      <c r="P54" s="8" t="n"/>
      <c r="Q54" s="8" t="n"/>
      <c r="R54" s="8" t="n"/>
    </row>
    <row r="55">
      <c r="B55" s="4" t="inlineStr">
        <is>
          <t>Volunteering</t>
        </is>
      </c>
      <c r="C55" s="5" t="inlineStr">
        <is>
          <t>£ a year</t>
        </is>
      </c>
      <c r="D55" s="45">
        <f>IF(D6=0,"",N(Inputs!$C$41)*Assumptions!$N$80*D26)</f>
        <v/>
      </c>
      <c r="E55" s="45">
        <f>IF(E6=0,"",N(Inputs!$C$41)*Assumptions!$O$80*E26)</f>
        <v/>
      </c>
      <c r="F55" s="45">
        <f>IF(F6=0,"",N(Inputs!$C$41)*Assumptions!$P$80*F26)</f>
        <v/>
      </c>
      <c r="G55" s="45">
        <f>IF(G6=0,"",N(Inputs!$D$41)*Assumptions!$N$80*G26)</f>
        <v/>
      </c>
      <c r="H55" s="45">
        <f>IF(H6=0,"",N(Inputs!$D$41)*Assumptions!$O$80*H26)</f>
        <v/>
      </c>
      <c r="I55" s="45">
        <f>IF(I6=0,"",N(Inputs!$D$41)*Assumptions!$P$80*I26)</f>
        <v/>
      </c>
      <c r="J55" s="45">
        <f>IF(J6=0,"",N(Inputs!$E$41)*Assumptions!$N$80*J26)</f>
        <v/>
      </c>
      <c r="K55" s="45">
        <f>IF(K6=0,"",N(Inputs!$E$41)*Assumptions!$O$80*K26)</f>
        <v/>
      </c>
      <c r="L55" s="45">
        <f>IF(L6=0,"",N(Inputs!$E$41)*Assumptions!$P$80*L26)</f>
        <v/>
      </c>
      <c r="M55" s="45">
        <f>IF(M6=0,"",N(Inputs!$F$41)*Assumptions!$N$80*M26)</f>
        <v/>
      </c>
      <c r="N55" s="45">
        <f>IF(N6=0,"",N(Inputs!$F$41)*Assumptions!$O$80*N26)</f>
        <v/>
      </c>
      <c r="O55" s="45">
        <f>IF(O6=0,"",N(Inputs!$F$41)*Assumptions!$P$80*O26)</f>
        <v/>
      </c>
      <c r="P55" s="45">
        <f>IF(P6=0,"",N(Inputs!$G$41)*Assumptions!$N$80*P26)</f>
        <v/>
      </c>
      <c r="Q55" s="45">
        <f>IF(Q6=0,"",N(Inputs!$G$41)*Assumptions!$O$80*Q26)</f>
        <v/>
      </c>
      <c r="R55" s="45">
        <f>IF(R6=0,"",N(Inputs!$G$41)*Assumptions!$P$80*R26)</f>
        <v/>
      </c>
    </row>
    <row r="56">
      <c r="B56" s="4" t="inlineStr">
        <is>
          <t>Volunteering, present value after optimism bias</t>
        </is>
      </c>
      <c r="C56" s="5" t="inlineStr">
        <is>
          <t>£</t>
        </is>
      </c>
      <c r="D56" s="45">
        <f>IF(D6=0,"",D55*(1-CHOOSE(Assumptions!$Q$80,0,0.05,0.1,0.15,0.25,0.4))*D15)</f>
        <v/>
      </c>
      <c r="E56" s="45">
        <f>IF(E6=0,"",E55*(1-CHOOSE(Assumptions!$Q$80,0,0.05,0.1,0.15,0.25,0.4))*E15)</f>
        <v/>
      </c>
      <c r="F56" s="45">
        <f>IF(F6=0,"",F55*(1-CHOOSE(Assumptions!$Q$80,0,0.05,0.1,0.15,0.25,0.4))*F15)</f>
        <v/>
      </c>
      <c r="G56" s="45">
        <f>IF(G6=0,"",G55*(1-CHOOSE(Assumptions!$Q$80,0,0.05,0.1,0.15,0.25,0.4))*G15)</f>
        <v/>
      </c>
      <c r="H56" s="45">
        <f>IF(H6=0,"",H55*(1-CHOOSE(Assumptions!$Q$80,0,0.05,0.1,0.15,0.25,0.4))*H15)</f>
        <v/>
      </c>
      <c r="I56" s="45">
        <f>IF(I6=0,"",I55*(1-CHOOSE(Assumptions!$Q$80,0,0.05,0.1,0.15,0.25,0.4))*I15)</f>
        <v/>
      </c>
      <c r="J56" s="45">
        <f>IF(J6=0,"",J55*(1-CHOOSE(Assumptions!$Q$80,0,0.05,0.1,0.15,0.25,0.4))*J15)</f>
        <v/>
      </c>
      <c r="K56" s="45">
        <f>IF(K6=0,"",K55*(1-CHOOSE(Assumptions!$Q$80,0,0.05,0.1,0.15,0.25,0.4))*K15)</f>
        <v/>
      </c>
      <c r="L56" s="45">
        <f>IF(L6=0,"",L55*(1-CHOOSE(Assumptions!$Q$80,0,0.05,0.1,0.15,0.25,0.4))*L15)</f>
        <v/>
      </c>
      <c r="M56" s="45">
        <f>IF(M6=0,"",M55*(1-CHOOSE(Assumptions!$Q$80,0,0.05,0.1,0.15,0.25,0.4))*M15)</f>
        <v/>
      </c>
      <c r="N56" s="45">
        <f>IF(N6=0,"",N55*(1-CHOOSE(Assumptions!$Q$80,0,0.05,0.1,0.15,0.25,0.4))*N15)</f>
        <v/>
      </c>
      <c r="O56" s="45">
        <f>IF(O6=0,"",O55*(1-CHOOSE(Assumptions!$Q$80,0,0.05,0.1,0.15,0.25,0.4))*O15)</f>
        <v/>
      </c>
      <c r="P56" s="45">
        <f>IF(P6=0,"",P55*(1-CHOOSE(Assumptions!$Q$80,0,0.05,0.1,0.15,0.25,0.4))*P15)</f>
        <v/>
      </c>
      <c r="Q56" s="45">
        <f>IF(Q6=0,"",Q55*(1-CHOOSE(Assumptions!$Q$80,0,0.05,0.1,0.15,0.25,0.4))*Q15)</f>
        <v/>
      </c>
      <c r="R56" s="45">
        <f>IF(R6=0,"",R55*(1-CHOOSE(Assumptions!$Q$80,0,0.05,0.1,0.15,0.25,0.4))*R15)</f>
        <v/>
      </c>
    </row>
    <row r="57">
      <c r="B57" s="4" t="inlineStr">
        <is>
          <t>Value per regular participant</t>
        </is>
      </c>
      <c r="C57" s="5" t="inlineStr">
        <is>
          <t>£ a year</t>
        </is>
      </c>
      <c r="D57" s="45">
        <f>IF(D6=0,"",IFERROR(INDEX(L_GroupValue,MATCH(Inputs!$C$43,L_Group,0)),INDEX(L_GroupValue,1)))</f>
        <v/>
      </c>
      <c r="E57" s="45">
        <f>IF(E6=0,"",IFERROR(INDEX(L_GroupValue,MATCH(Inputs!$C$43,L_Group,0)),INDEX(L_GroupValue,1)))</f>
        <v/>
      </c>
      <c r="F57" s="45">
        <f>IF(F6=0,"",IFERROR(INDEX(L_GroupValue,MATCH(Inputs!$C$43,L_Group,0)),INDEX(L_GroupValue,1)))</f>
        <v/>
      </c>
      <c r="G57" s="45">
        <f>IF(G6=0,"",IFERROR(INDEX(L_GroupValue,MATCH(Inputs!$D$43,L_Group,0)),INDEX(L_GroupValue,1)))</f>
        <v/>
      </c>
      <c r="H57" s="45">
        <f>IF(H6=0,"",IFERROR(INDEX(L_GroupValue,MATCH(Inputs!$D$43,L_Group,0)),INDEX(L_GroupValue,1)))</f>
        <v/>
      </c>
      <c r="I57" s="45">
        <f>IF(I6=0,"",IFERROR(INDEX(L_GroupValue,MATCH(Inputs!$D$43,L_Group,0)),INDEX(L_GroupValue,1)))</f>
        <v/>
      </c>
      <c r="J57" s="45">
        <f>IF(J6=0,"",IFERROR(INDEX(L_GroupValue,MATCH(Inputs!$E$43,L_Group,0)),INDEX(L_GroupValue,1)))</f>
        <v/>
      </c>
      <c r="K57" s="45">
        <f>IF(K6=0,"",IFERROR(INDEX(L_GroupValue,MATCH(Inputs!$E$43,L_Group,0)),INDEX(L_GroupValue,1)))</f>
        <v/>
      </c>
      <c r="L57" s="45">
        <f>IF(L6=0,"",IFERROR(INDEX(L_GroupValue,MATCH(Inputs!$E$43,L_Group,0)),INDEX(L_GroupValue,1)))</f>
        <v/>
      </c>
      <c r="M57" s="45">
        <f>IF(M6=0,"",IFERROR(INDEX(L_GroupValue,MATCH(Inputs!$F$43,L_Group,0)),INDEX(L_GroupValue,1)))</f>
        <v/>
      </c>
      <c r="N57" s="45">
        <f>IF(N6=0,"",IFERROR(INDEX(L_GroupValue,MATCH(Inputs!$F$43,L_Group,0)),INDEX(L_GroupValue,1)))</f>
        <v/>
      </c>
      <c r="O57" s="45">
        <f>IF(O6=0,"",IFERROR(INDEX(L_GroupValue,MATCH(Inputs!$F$43,L_Group,0)),INDEX(L_GroupValue,1)))</f>
        <v/>
      </c>
      <c r="P57" s="45">
        <f>IF(P6=0,"",IFERROR(INDEX(L_GroupValue,MATCH(Inputs!$G$43,L_Group,0)),INDEX(L_GroupValue,1)))</f>
        <v/>
      </c>
      <c r="Q57" s="45">
        <f>IF(Q6=0,"",IFERROR(INDEX(L_GroupValue,MATCH(Inputs!$G$43,L_Group,0)),INDEX(L_GroupValue,1)))</f>
        <v/>
      </c>
      <c r="R57" s="45">
        <f>IF(R6=0,"",IFERROR(INDEX(L_GroupValue,MATCH(Inputs!$G$43,L_Group,0)),INDEX(L_GroupValue,1)))</f>
        <v/>
      </c>
    </row>
    <row r="58">
      <c r="B58" s="4" t="inlineStr">
        <is>
          <t>Regular participation</t>
        </is>
      </c>
      <c r="C58" s="5" t="inlineStr">
        <is>
          <t>£ a year</t>
        </is>
      </c>
      <c r="D58" s="45">
        <f>IF(D6=0,"",N(Inputs!$C$42)*D57*D26)</f>
        <v/>
      </c>
      <c r="E58" s="45">
        <f>IF(E6=0,"",N(Inputs!$C$42)*E57*E26)</f>
        <v/>
      </c>
      <c r="F58" s="45">
        <f>IF(F6=0,"",N(Inputs!$C$42)*F57*F26)</f>
        <v/>
      </c>
      <c r="G58" s="45">
        <f>IF(G6=0,"",N(Inputs!$D$42)*G57*G26)</f>
        <v/>
      </c>
      <c r="H58" s="45">
        <f>IF(H6=0,"",N(Inputs!$D$42)*H57*H26)</f>
        <v/>
      </c>
      <c r="I58" s="45">
        <f>IF(I6=0,"",N(Inputs!$D$42)*I57*I26)</f>
        <v/>
      </c>
      <c r="J58" s="45">
        <f>IF(J6=0,"",N(Inputs!$E$42)*J57*J26)</f>
        <v/>
      </c>
      <c r="K58" s="45">
        <f>IF(K6=0,"",N(Inputs!$E$42)*K57*K26)</f>
        <v/>
      </c>
      <c r="L58" s="45">
        <f>IF(L6=0,"",N(Inputs!$E$42)*L57*L26)</f>
        <v/>
      </c>
      <c r="M58" s="45">
        <f>IF(M6=0,"",N(Inputs!$F$42)*M57*M26)</f>
        <v/>
      </c>
      <c r="N58" s="45">
        <f>IF(N6=0,"",N(Inputs!$F$42)*N57*N26)</f>
        <v/>
      </c>
      <c r="O58" s="45">
        <f>IF(O6=0,"",N(Inputs!$F$42)*O57*O26)</f>
        <v/>
      </c>
      <c r="P58" s="45">
        <f>IF(P6=0,"",N(Inputs!$G$42)*P57*P26)</f>
        <v/>
      </c>
      <c r="Q58" s="45">
        <f>IF(Q6=0,"",N(Inputs!$G$42)*Q57*Q26)</f>
        <v/>
      </c>
      <c r="R58" s="45">
        <f>IF(R6=0,"",N(Inputs!$G$42)*R57*R26)</f>
        <v/>
      </c>
    </row>
    <row r="59">
      <c r="B59" s="4" t="inlineStr">
        <is>
          <t>Regular participation, present value after optimism bias</t>
        </is>
      </c>
      <c r="C59" s="5" t="inlineStr">
        <is>
          <t>£</t>
        </is>
      </c>
      <c r="D59" s="45">
        <f>IF(D6=0,"",D58*(1-CHOOSE(Assumptions!$Q$84,0,0.05,0.1,0.15,0.25,0.4))*D15)</f>
        <v/>
      </c>
      <c r="E59" s="45">
        <f>IF(E6=0,"",E58*(1-CHOOSE(Assumptions!$Q$84,0,0.05,0.1,0.15,0.25,0.4))*E15)</f>
        <v/>
      </c>
      <c r="F59" s="45">
        <f>IF(F6=0,"",F58*(1-CHOOSE(Assumptions!$Q$84,0,0.05,0.1,0.15,0.25,0.4))*F15)</f>
        <v/>
      </c>
      <c r="G59" s="45">
        <f>IF(G6=0,"",G58*(1-CHOOSE(Assumptions!$Q$84,0,0.05,0.1,0.15,0.25,0.4))*G15)</f>
        <v/>
      </c>
      <c r="H59" s="45">
        <f>IF(H6=0,"",H58*(1-CHOOSE(Assumptions!$Q$84,0,0.05,0.1,0.15,0.25,0.4))*H15)</f>
        <v/>
      </c>
      <c r="I59" s="45">
        <f>IF(I6=0,"",I58*(1-CHOOSE(Assumptions!$Q$84,0,0.05,0.1,0.15,0.25,0.4))*I15)</f>
        <v/>
      </c>
      <c r="J59" s="45">
        <f>IF(J6=0,"",J58*(1-CHOOSE(Assumptions!$Q$84,0,0.05,0.1,0.15,0.25,0.4))*J15)</f>
        <v/>
      </c>
      <c r="K59" s="45">
        <f>IF(K6=0,"",K58*(1-CHOOSE(Assumptions!$Q$84,0,0.05,0.1,0.15,0.25,0.4))*K15)</f>
        <v/>
      </c>
      <c r="L59" s="45">
        <f>IF(L6=0,"",L58*(1-CHOOSE(Assumptions!$Q$84,0,0.05,0.1,0.15,0.25,0.4))*L15)</f>
        <v/>
      </c>
      <c r="M59" s="45">
        <f>IF(M6=0,"",M58*(1-CHOOSE(Assumptions!$Q$84,0,0.05,0.1,0.15,0.25,0.4))*M15)</f>
        <v/>
      </c>
      <c r="N59" s="45">
        <f>IF(N6=0,"",N58*(1-CHOOSE(Assumptions!$Q$84,0,0.05,0.1,0.15,0.25,0.4))*N15)</f>
        <v/>
      </c>
      <c r="O59" s="45">
        <f>IF(O6=0,"",O58*(1-CHOOSE(Assumptions!$Q$84,0,0.05,0.1,0.15,0.25,0.4))*O15)</f>
        <v/>
      </c>
      <c r="P59" s="45">
        <f>IF(P6=0,"",P58*(1-CHOOSE(Assumptions!$Q$84,0,0.05,0.1,0.15,0.25,0.4))*P15)</f>
        <v/>
      </c>
      <c r="Q59" s="45">
        <f>IF(Q6=0,"",Q58*(1-CHOOSE(Assumptions!$Q$84,0,0.05,0.1,0.15,0.25,0.4))*Q15)</f>
        <v/>
      </c>
      <c r="R59" s="45">
        <f>IF(R6=0,"",R58*(1-CHOOSE(Assumptions!$Q$84,0,0.05,0.1,0.15,0.25,0.4))*R15)</f>
        <v/>
      </c>
    </row>
    <row r="60">
      <c r="B60" s="4" t="inlineStr">
        <is>
          <t>Jobs filled by previously unemployed residents</t>
        </is>
      </c>
      <c r="C60" s="5" t="inlineStr">
        <is>
          <t>people</t>
        </is>
      </c>
      <c r="D60" s="44">
        <f>IF(D6=0,"",IF(Inputs!$C$44&lt;&gt;"",Inputs!$C$44*D25,D38*Assumptions!$N$82/100))</f>
        <v/>
      </c>
      <c r="E60" s="44">
        <f>IF(E6=0,"",IF(Inputs!$C$44&lt;&gt;"",Inputs!$C$44*E25,E38*Assumptions!$O$82/100))</f>
        <v/>
      </c>
      <c r="F60" s="44">
        <f>IF(F6=0,"",IF(Inputs!$C$44&lt;&gt;"",Inputs!$C$44*F25,F38*Assumptions!$P$82/100))</f>
        <v/>
      </c>
      <c r="G60" s="44">
        <f>IF(G6=0,"",IF(Inputs!$D$44&lt;&gt;"",Inputs!$D$44*G25,G38*Assumptions!$N$82/100))</f>
        <v/>
      </c>
      <c r="H60" s="44">
        <f>IF(H6=0,"",IF(Inputs!$D$44&lt;&gt;"",Inputs!$D$44*H25,H38*Assumptions!$O$82/100))</f>
        <v/>
      </c>
      <c r="I60" s="44">
        <f>IF(I6=0,"",IF(Inputs!$D$44&lt;&gt;"",Inputs!$D$44*I25,I38*Assumptions!$P$82/100))</f>
        <v/>
      </c>
      <c r="J60" s="44">
        <f>IF(J6=0,"",IF(Inputs!$E$44&lt;&gt;"",Inputs!$E$44*J25,J38*Assumptions!$N$82/100))</f>
        <v/>
      </c>
      <c r="K60" s="44">
        <f>IF(K6=0,"",IF(Inputs!$E$44&lt;&gt;"",Inputs!$E$44*K25,K38*Assumptions!$O$82/100))</f>
        <v/>
      </c>
      <c r="L60" s="44">
        <f>IF(L6=0,"",IF(Inputs!$E$44&lt;&gt;"",Inputs!$E$44*L25,L38*Assumptions!$P$82/100))</f>
        <v/>
      </c>
      <c r="M60" s="44">
        <f>IF(M6=0,"",IF(Inputs!$F$44&lt;&gt;"",Inputs!$F$44*M25,M38*Assumptions!$N$82/100))</f>
        <v/>
      </c>
      <c r="N60" s="44">
        <f>IF(N6=0,"",IF(Inputs!$F$44&lt;&gt;"",Inputs!$F$44*N25,N38*Assumptions!$O$82/100))</f>
        <v/>
      </c>
      <c r="O60" s="44">
        <f>IF(O6=0,"",IF(Inputs!$F$44&lt;&gt;"",Inputs!$F$44*O25,O38*Assumptions!$P$82/100))</f>
        <v/>
      </c>
      <c r="P60" s="44">
        <f>IF(P6=0,"",IF(Inputs!$G$44&lt;&gt;"",Inputs!$G$44*P25,P38*Assumptions!$N$82/100))</f>
        <v/>
      </c>
      <c r="Q60" s="44">
        <f>IF(Q6=0,"",IF(Inputs!$G$44&lt;&gt;"",Inputs!$G$44*Q25,Q38*Assumptions!$O$82/100))</f>
        <v/>
      </c>
      <c r="R60" s="44">
        <f>IF(R6=0,"",IF(Inputs!$G$44&lt;&gt;"",Inputs!$G$44*R25,R38*Assumptions!$P$82/100))</f>
        <v/>
      </c>
    </row>
    <row r="61">
      <c r="B61" s="4" t="inlineStr">
        <is>
          <t>Grade</t>
        </is>
      </c>
      <c r="C61" s="5" t="inlineStr"/>
      <c r="D61" s="40">
        <f>IF(D6=0,"",IF(Inputs!$C$44&lt;&gt;"",MAX(Assumptions!$Q$81,Assumptions!$Q$83),MAX(Assumptions!$Q$81,Assumptions!$Q$82,Assumptions!$Q$83,D36)))</f>
        <v/>
      </c>
      <c r="E61" s="40">
        <f>IF(E6=0,"",IF(Inputs!$C$44&lt;&gt;"",MAX(Assumptions!$Q$81,Assumptions!$Q$83),MAX(Assumptions!$Q$81,Assumptions!$Q$82,Assumptions!$Q$83,E36)))</f>
        <v/>
      </c>
      <c r="F61" s="40">
        <f>IF(F6=0,"",IF(Inputs!$C$44&lt;&gt;"",MAX(Assumptions!$Q$81,Assumptions!$Q$83),MAX(Assumptions!$Q$81,Assumptions!$Q$82,Assumptions!$Q$83,F36)))</f>
        <v/>
      </c>
      <c r="G61" s="40">
        <f>IF(G6=0,"",IF(Inputs!$D$44&lt;&gt;"",MAX(Assumptions!$Q$81,Assumptions!$Q$83),MAX(Assumptions!$Q$81,Assumptions!$Q$82,Assumptions!$Q$83,G36)))</f>
        <v/>
      </c>
      <c r="H61" s="40">
        <f>IF(H6=0,"",IF(Inputs!$D$44&lt;&gt;"",MAX(Assumptions!$Q$81,Assumptions!$Q$83),MAX(Assumptions!$Q$81,Assumptions!$Q$82,Assumptions!$Q$83,H36)))</f>
        <v/>
      </c>
      <c r="I61" s="40">
        <f>IF(I6=0,"",IF(Inputs!$D$44&lt;&gt;"",MAX(Assumptions!$Q$81,Assumptions!$Q$83),MAX(Assumptions!$Q$81,Assumptions!$Q$82,Assumptions!$Q$83,I36)))</f>
        <v/>
      </c>
      <c r="J61" s="40">
        <f>IF(J6=0,"",IF(Inputs!$E$44&lt;&gt;"",MAX(Assumptions!$Q$81,Assumptions!$Q$83),MAX(Assumptions!$Q$81,Assumptions!$Q$82,Assumptions!$Q$83,J36)))</f>
        <v/>
      </c>
      <c r="K61" s="40">
        <f>IF(K6=0,"",IF(Inputs!$E$44&lt;&gt;"",MAX(Assumptions!$Q$81,Assumptions!$Q$83),MAX(Assumptions!$Q$81,Assumptions!$Q$82,Assumptions!$Q$83,K36)))</f>
        <v/>
      </c>
      <c r="L61" s="40">
        <f>IF(L6=0,"",IF(Inputs!$E$44&lt;&gt;"",MAX(Assumptions!$Q$81,Assumptions!$Q$83),MAX(Assumptions!$Q$81,Assumptions!$Q$82,Assumptions!$Q$83,L36)))</f>
        <v/>
      </c>
      <c r="M61" s="40">
        <f>IF(M6=0,"",IF(Inputs!$F$44&lt;&gt;"",MAX(Assumptions!$Q$81,Assumptions!$Q$83),MAX(Assumptions!$Q$81,Assumptions!$Q$82,Assumptions!$Q$83,M36)))</f>
        <v/>
      </c>
      <c r="N61" s="40">
        <f>IF(N6=0,"",IF(Inputs!$F$44&lt;&gt;"",MAX(Assumptions!$Q$81,Assumptions!$Q$83),MAX(Assumptions!$Q$81,Assumptions!$Q$82,Assumptions!$Q$83,N36)))</f>
        <v/>
      </c>
      <c r="O61" s="40">
        <f>IF(O6=0,"",IF(Inputs!$F$44&lt;&gt;"",MAX(Assumptions!$Q$81,Assumptions!$Q$83),MAX(Assumptions!$Q$81,Assumptions!$Q$82,Assumptions!$Q$83,O36)))</f>
        <v/>
      </c>
      <c r="P61" s="40">
        <f>IF(P6=0,"",IF(Inputs!$G$44&lt;&gt;"",MAX(Assumptions!$Q$81,Assumptions!$Q$83),MAX(Assumptions!$Q$81,Assumptions!$Q$82,Assumptions!$Q$83,P36)))</f>
        <v/>
      </c>
      <c r="Q61" s="40">
        <f>IF(Q6=0,"",IF(Inputs!$G$44&lt;&gt;"",MAX(Assumptions!$Q$81,Assumptions!$Q$83),MAX(Assumptions!$Q$81,Assumptions!$Q$82,Assumptions!$Q$83,Q36)))</f>
        <v/>
      </c>
      <c r="R61" s="40">
        <f>IF(R6=0,"",IF(Inputs!$G$44&lt;&gt;"",MAX(Assumptions!$Q$81,Assumptions!$Q$83),MAX(Assumptions!$Q$81,Assumptions!$Q$82,Assumptions!$Q$83,R36)))</f>
        <v/>
      </c>
    </row>
    <row r="62">
      <c r="B62" s="4" t="inlineStr">
        <is>
          <t>Employment wellbeing</t>
        </is>
      </c>
      <c r="C62" s="5" t="inlineStr">
        <is>
          <t>£ a year</t>
        </is>
      </c>
      <c r="D62" s="45">
        <f>IF(D6=0,"",D60*(1-Assumptions!$O$83/100)*Assumptions!$N$81)</f>
        <v/>
      </c>
      <c r="E62" s="45">
        <f>IF(E6=0,"",E60*(1-Assumptions!$O$83/100)*Assumptions!$O$81)</f>
        <v/>
      </c>
      <c r="F62" s="45">
        <f>IF(F6=0,"",F60*(1-Assumptions!$O$83/100)*Assumptions!$P$81)</f>
        <v/>
      </c>
      <c r="G62" s="45">
        <f>IF(G6=0,"",G60*(1-Assumptions!$O$83/100)*Assumptions!$N$81)</f>
        <v/>
      </c>
      <c r="H62" s="45">
        <f>IF(H6=0,"",H60*(1-Assumptions!$O$83/100)*Assumptions!$O$81)</f>
        <v/>
      </c>
      <c r="I62" s="45">
        <f>IF(I6=0,"",I60*(1-Assumptions!$O$83/100)*Assumptions!$P$81)</f>
        <v/>
      </c>
      <c r="J62" s="45">
        <f>IF(J6=0,"",J60*(1-Assumptions!$O$83/100)*Assumptions!$N$81)</f>
        <v/>
      </c>
      <c r="K62" s="45">
        <f>IF(K6=0,"",K60*(1-Assumptions!$O$83/100)*Assumptions!$O$81)</f>
        <v/>
      </c>
      <c r="L62" s="45">
        <f>IF(L6=0,"",L60*(1-Assumptions!$O$83/100)*Assumptions!$P$81)</f>
        <v/>
      </c>
      <c r="M62" s="45">
        <f>IF(M6=0,"",M60*(1-Assumptions!$O$83/100)*Assumptions!$N$81)</f>
        <v/>
      </c>
      <c r="N62" s="45">
        <f>IF(N6=0,"",N60*(1-Assumptions!$O$83/100)*Assumptions!$O$81)</f>
        <v/>
      </c>
      <c r="O62" s="45">
        <f>IF(O6=0,"",O60*(1-Assumptions!$O$83/100)*Assumptions!$P$81)</f>
        <v/>
      </c>
      <c r="P62" s="45">
        <f>IF(P6=0,"",P60*(1-Assumptions!$O$83/100)*Assumptions!$N$81)</f>
        <v/>
      </c>
      <c r="Q62" s="45">
        <f>IF(Q6=0,"",Q60*(1-Assumptions!$O$83/100)*Assumptions!$O$81)</f>
        <v/>
      </c>
      <c r="R62" s="45">
        <f>IF(R6=0,"",R60*(1-Assumptions!$O$83/100)*Assumptions!$P$81)</f>
        <v/>
      </c>
    </row>
    <row r="63">
      <c r="B63" s="4" t="inlineStr">
        <is>
          <t>Employment wellbeing, present value after optimism bias</t>
        </is>
      </c>
      <c r="C63" s="5" t="inlineStr">
        <is>
          <t>£</t>
        </is>
      </c>
      <c r="D63" s="45">
        <f>IF(D6=0,"",D62*(1-CHOOSE(D61,0,0.05,0.1,0.15,0.25,0.4))*D15)</f>
        <v/>
      </c>
      <c r="E63" s="45">
        <f>IF(E6=0,"",E62*(1-CHOOSE(E61,0,0.05,0.1,0.15,0.25,0.4))*E15)</f>
        <v/>
      </c>
      <c r="F63" s="45">
        <f>IF(F6=0,"",F62*(1-CHOOSE(F61,0,0.05,0.1,0.15,0.25,0.4))*F15)</f>
        <v/>
      </c>
      <c r="G63" s="45">
        <f>IF(G6=0,"",G62*(1-CHOOSE(G61,0,0.05,0.1,0.15,0.25,0.4))*G15)</f>
        <v/>
      </c>
      <c r="H63" s="45">
        <f>IF(H6=0,"",H62*(1-CHOOSE(H61,0,0.05,0.1,0.15,0.25,0.4))*H15)</f>
        <v/>
      </c>
      <c r="I63" s="45">
        <f>IF(I6=0,"",I62*(1-CHOOSE(I61,0,0.05,0.1,0.15,0.25,0.4))*I15)</f>
        <v/>
      </c>
      <c r="J63" s="45">
        <f>IF(J6=0,"",J62*(1-CHOOSE(J61,0,0.05,0.1,0.15,0.25,0.4))*J15)</f>
        <v/>
      </c>
      <c r="K63" s="45">
        <f>IF(K6=0,"",K62*(1-CHOOSE(K61,0,0.05,0.1,0.15,0.25,0.4))*K15)</f>
        <v/>
      </c>
      <c r="L63" s="45">
        <f>IF(L6=0,"",L62*(1-CHOOSE(L61,0,0.05,0.1,0.15,0.25,0.4))*L15)</f>
        <v/>
      </c>
      <c r="M63" s="45">
        <f>IF(M6=0,"",M62*(1-CHOOSE(M61,0,0.05,0.1,0.15,0.25,0.4))*M15)</f>
        <v/>
      </c>
      <c r="N63" s="45">
        <f>IF(N6=0,"",N62*(1-CHOOSE(N61,0,0.05,0.1,0.15,0.25,0.4))*N15)</f>
        <v/>
      </c>
      <c r="O63" s="45">
        <f>IF(O6=0,"",O62*(1-CHOOSE(O61,0,0.05,0.1,0.15,0.25,0.4))*O15)</f>
        <v/>
      </c>
      <c r="P63" s="45">
        <f>IF(P6=0,"",P62*(1-CHOOSE(P61,0,0.05,0.1,0.15,0.25,0.4))*P15)</f>
        <v/>
      </c>
      <c r="Q63" s="45">
        <f>IF(Q6=0,"",Q62*(1-CHOOSE(Q61,0,0.05,0.1,0.15,0.25,0.4))*Q15)</f>
        <v/>
      </c>
      <c r="R63" s="45">
        <f>IF(R6=0,"",R62*(1-CHOOSE(R61,0,0.05,0.1,0.15,0.25,0.4))*R15)</f>
        <v/>
      </c>
    </row>
    <row r="64">
      <c r="B64" s="4" t="inlineStr">
        <is>
          <t>Cost of keeping the unit empty, avoided (after a let anyway)</t>
        </is>
      </c>
      <c r="C64" s="5" t="inlineStr">
        <is>
          <t>£ a year</t>
        </is>
      </c>
      <c r="D64" s="45">
        <f>IF(D6=0,"",IF(N(Inputs!$C$17)&gt;0,Inputs!$C$17,IF(Inputs!$C$15="Council",N(Inputs!$C$16)*Assumptions!$O$28/100,0))*D25)</f>
        <v/>
      </c>
      <c r="E64" s="45">
        <f>IF(E6=0,"",IF(N(Inputs!$C$17)&gt;0,Inputs!$C$17,IF(Inputs!$C$15="Council",N(Inputs!$C$16)*Assumptions!$O$28/100,0))*E25)</f>
        <v/>
      </c>
      <c r="F64" s="45">
        <f>IF(F6=0,"",IF(N(Inputs!$C$17)&gt;0,Inputs!$C$17,IF(Inputs!$C$15="Council",N(Inputs!$C$16)*Assumptions!$O$28/100,0))*F25)</f>
        <v/>
      </c>
      <c r="G64" s="45">
        <f>IF(G6=0,"",IF(N(Inputs!$D$17)&gt;0,Inputs!$D$17,IF(Inputs!$D$15="Council",N(Inputs!$D$16)*Assumptions!$O$28/100,0))*G25)</f>
        <v/>
      </c>
      <c r="H64" s="45">
        <f>IF(H6=0,"",IF(N(Inputs!$D$17)&gt;0,Inputs!$D$17,IF(Inputs!$D$15="Council",N(Inputs!$D$16)*Assumptions!$O$28/100,0))*H25)</f>
        <v/>
      </c>
      <c r="I64" s="45">
        <f>IF(I6=0,"",IF(N(Inputs!$D$17)&gt;0,Inputs!$D$17,IF(Inputs!$D$15="Council",N(Inputs!$D$16)*Assumptions!$O$28/100,0))*I25)</f>
        <v/>
      </c>
      <c r="J64" s="45">
        <f>IF(J6=0,"",IF(N(Inputs!$E$17)&gt;0,Inputs!$E$17,IF(Inputs!$E$15="Council",N(Inputs!$E$16)*Assumptions!$O$28/100,0))*J25)</f>
        <v/>
      </c>
      <c r="K64" s="45">
        <f>IF(K6=0,"",IF(N(Inputs!$E$17)&gt;0,Inputs!$E$17,IF(Inputs!$E$15="Council",N(Inputs!$E$16)*Assumptions!$O$28/100,0))*K25)</f>
        <v/>
      </c>
      <c r="L64" s="45">
        <f>IF(L6=0,"",IF(N(Inputs!$E$17)&gt;0,Inputs!$E$17,IF(Inputs!$E$15="Council",N(Inputs!$E$16)*Assumptions!$O$28/100,0))*L25)</f>
        <v/>
      </c>
      <c r="M64" s="45">
        <f>IF(M6=0,"",IF(N(Inputs!$F$17)&gt;0,Inputs!$F$17,IF(Inputs!$F$15="Council",N(Inputs!$F$16)*Assumptions!$O$28/100,0))*M25)</f>
        <v/>
      </c>
      <c r="N64" s="45">
        <f>IF(N6=0,"",IF(N(Inputs!$F$17)&gt;0,Inputs!$F$17,IF(Inputs!$F$15="Council",N(Inputs!$F$16)*Assumptions!$O$28/100,0))*N25)</f>
        <v/>
      </c>
      <c r="O64" s="45">
        <f>IF(O6=0,"",IF(N(Inputs!$F$17)&gt;0,Inputs!$F$17,IF(Inputs!$F$15="Council",N(Inputs!$F$16)*Assumptions!$O$28/100,0))*O25)</f>
        <v/>
      </c>
      <c r="P64" s="45">
        <f>IF(P6=0,"",IF(N(Inputs!$G$17)&gt;0,Inputs!$G$17,IF(Inputs!$G$15="Council",N(Inputs!$G$16)*Assumptions!$O$28/100,0))*P25)</f>
        <v/>
      </c>
      <c r="Q64" s="45">
        <f>IF(Q6=0,"",IF(N(Inputs!$G$17)&gt;0,Inputs!$G$17,IF(Inputs!$G$15="Council",N(Inputs!$G$16)*Assumptions!$O$28/100,0))*Q25)</f>
        <v/>
      </c>
      <c r="R64" s="45">
        <f>IF(R6=0,"",IF(N(Inputs!$G$17)&gt;0,Inputs!$G$17,IF(Inputs!$G$15="Council",N(Inputs!$G$16)*Assumptions!$O$28/100,0))*R25)</f>
        <v/>
      </c>
    </row>
    <row r="65">
      <c r="B65" s="4" t="inlineStr">
        <is>
          <t>Grade</t>
        </is>
      </c>
      <c r="C65" s="5" t="inlineStr"/>
      <c r="D65" s="40">
        <f>IF(D6=0,"",IF(N(Inputs!$C$17)&gt;0,4,6))</f>
        <v/>
      </c>
      <c r="E65" s="40">
        <f>IF(E6=0,"",IF(N(Inputs!$C$17)&gt;0,4,6))</f>
        <v/>
      </c>
      <c r="F65" s="40">
        <f>IF(F6=0,"",IF(N(Inputs!$C$17)&gt;0,4,6))</f>
        <v/>
      </c>
      <c r="G65" s="40">
        <f>IF(G6=0,"",IF(N(Inputs!$D$17)&gt;0,4,6))</f>
        <v/>
      </c>
      <c r="H65" s="40">
        <f>IF(H6=0,"",IF(N(Inputs!$D$17)&gt;0,4,6))</f>
        <v/>
      </c>
      <c r="I65" s="40">
        <f>IF(I6=0,"",IF(N(Inputs!$D$17)&gt;0,4,6))</f>
        <v/>
      </c>
      <c r="J65" s="40">
        <f>IF(J6=0,"",IF(N(Inputs!$E$17)&gt;0,4,6))</f>
        <v/>
      </c>
      <c r="K65" s="40">
        <f>IF(K6=0,"",IF(N(Inputs!$E$17)&gt;0,4,6))</f>
        <v/>
      </c>
      <c r="L65" s="40">
        <f>IF(L6=0,"",IF(N(Inputs!$E$17)&gt;0,4,6))</f>
        <v/>
      </c>
      <c r="M65" s="40">
        <f>IF(M6=0,"",IF(N(Inputs!$F$17)&gt;0,4,6))</f>
        <v/>
      </c>
      <c r="N65" s="40">
        <f>IF(N6=0,"",IF(N(Inputs!$F$17)&gt;0,4,6))</f>
        <v/>
      </c>
      <c r="O65" s="40">
        <f>IF(O6=0,"",IF(N(Inputs!$F$17)&gt;0,4,6))</f>
        <v/>
      </c>
      <c r="P65" s="40">
        <f>IF(P6=0,"",IF(N(Inputs!$G$17)&gt;0,4,6))</f>
        <v/>
      </c>
      <c r="Q65" s="40">
        <f>IF(Q6=0,"",IF(N(Inputs!$G$17)&gt;0,4,6))</f>
        <v/>
      </c>
      <c r="R65" s="40">
        <f>IF(R6=0,"",IF(N(Inputs!$G$17)&gt;0,4,6))</f>
        <v/>
      </c>
    </row>
    <row r="66">
      <c r="B66" s="4" t="inlineStr">
        <is>
          <t>Avoided empty-unit costs to a private owner, present value</t>
        </is>
      </c>
      <c r="C66" s="5" t="inlineStr">
        <is>
          <t>£</t>
        </is>
      </c>
      <c r="D66" s="45">
        <f>IF(D6=0,"",IF(Inputs!$C$15="Private",D64,0)*(1-CHOOSE(D65,0,0.05,0.1,0.15,0.25,0.4))*D14)</f>
        <v/>
      </c>
      <c r="E66" s="45">
        <f>IF(E6=0,"",IF(Inputs!$C$15="Private",E64,0)*(1-CHOOSE(E65,0,0.05,0.1,0.15,0.25,0.4))*E14)</f>
        <v/>
      </c>
      <c r="F66" s="45">
        <f>IF(F6=0,"",IF(Inputs!$C$15="Private",F64,0)*(1-CHOOSE(F65,0,0.05,0.1,0.15,0.25,0.4))*F14)</f>
        <v/>
      </c>
      <c r="G66" s="45">
        <f>IF(G6=0,"",IF(Inputs!$D$15="Private",G64,0)*(1-CHOOSE(G65,0,0.05,0.1,0.15,0.25,0.4))*G14)</f>
        <v/>
      </c>
      <c r="H66" s="45">
        <f>IF(H6=0,"",IF(Inputs!$D$15="Private",H64,0)*(1-CHOOSE(H65,0,0.05,0.1,0.15,0.25,0.4))*H14)</f>
        <v/>
      </c>
      <c r="I66" s="45">
        <f>IF(I6=0,"",IF(Inputs!$D$15="Private",I64,0)*(1-CHOOSE(I65,0,0.05,0.1,0.15,0.25,0.4))*I14)</f>
        <v/>
      </c>
      <c r="J66" s="45">
        <f>IF(J6=0,"",IF(Inputs!$E$15="Private",J64,0)*(1-CHOOSE(J65,0,0.05,0.1,0.15,0.25,0.4))*J14)</f>
        <v/>
      </c>
      <c r="K66" s="45">
        <f>IF(K6=0,"",IF(Inputs!$E$15="Private",K64,0)*(1-CHOOSE(K65,0,0.05,0.1,0.15,0.25,0.4))*K14)</f>
        <v/>
      </c>
      <c r="L66" s="45">
        <f>IF(L6=0,"",IF(Inputs!$E$15="Private",L64,0)*(1-CHOOSE(L65,0,0.05,0.1,0.15,0.25,0.4))*L14)</f>
        <v/>
      </c>
      <c r="M66" s="45">
        <f>IF(M6=0,"",IF(Inputs!$F$15="Private",M64,0)*(1-CHOOSE(M65,0,0.05,0.1,0.15,0.25,0.4))*M14)</f>
        <v/>
      </c>
      <c r="N66" s="45">
        <f>IF(N6=0,"",IF(Inputs!$F$15="Private",N64,0)*(1-CHOOSE(N65,0,0.05,0.1,0.15,0.25,0.4))*N14)</f>
        <v/>
      </c>
      <c r="O66" s="45">
        <f>IF(O6=0,"",IF(Inputs!$F$15="Private",O64,0)*(1-CHOOSE(O65,0,0.05,0.1,0.15,0.25,0.4))*O14)</f>
        <v/>
      </c>
      <c r="P66" s="45">
        <f>IF(P6=0,"",IF(Inputs!$G$15="Private",P64,0)*(1-CHOOSE(P65,0,0.05,0.1,0.15,0.25,0.4))*P14)</f>
        <v/>
      </c>
      <c r="Q66" s="45">
        <f>IF(Q6=0,"",IF(Inputs!$G$15="Private",Q64,0)*(1-CHOOSE(Q65,0,0.05,0.1,0.15,0.25,0.4))*Q14)</f>
        <v/>
      </c>
      <c r="R66" s="45">
        <f>IF(R6=0,"",IF(Inputs!$G$15="Private",R64,0)*(1-CHOOSE(R65,0,0.05,0.1,0.15,0.25,0.4))*R14)</f>
        <v/>
      </c>
    </row>
    <row r="67">
      <c r="B67" s="4" t="inlineStr">
        <is>
          <t>Discounted years of a permanent let after the occupation</t>
        </is>
      </c>
      <c r="C67" s="5" t="inlineStr"/>
      <c r="D67" s="42">
        <f>IF(D6=0,"",(1+Settings!$B$6)^-ROUNDUP(D8,0)*(1-(1+Settings!$B$6)^-Assumptions!$O$95)/(1-(1+Settings!$B$6)^-1))</f>
        <v/>
      </c>
      <c r="E67" s="42">
        <f>IF(E6=0,"",(1+Settings!$B$6)^-ROUNDUP(E8,0)*(1-(1+Settings!$B$6)^-Assumptions!$O$95)/(1-(1+Settings!$B$6)^-1))</f>
        <v/>
      </c>
      <c r="F67" s="42">
        <f>IF(F6=0,"",(1+Settings!$B$6)^-ROUNDUP(F8,0)*(1-(1+Settings!$B$6)^-Assumptions!$O$95)/(1-(1+Settings!$B$6)^-1))</f>
        <v/>
      </c>
      <c r="G67" s="42">
        <f>IF(G6=0,"",(1+Settings!$B$6)^-ROUNDUP(G8,0)*(1-(1+Settings!$B$6)^-Assumptions!$O$95)/(1-(1+Settings!$B$6)^-1))</f>
        <v/>
      </c>
      <c r="H67" s="42">
        <f>IF(H6=0,"",(1+Settings!$B$6)^-ROUNDUP(H8,0)*(1-(1+Settings!$B$6)^-Assumptions!$O$95)/(1-(1+Settings!$B$6)^-1))</f>
        <v/>
      </c>
      <c r="I67" s="42">
        <f>IF(I6=0,"",(1+Settings!$B$6)^-ROUNDUP(I8,0)*(1-(1+Settings!$B$6)^-Assumptions!$O$95)/(1-(1+Settings!$B$6)^-1))</f>
        <v/>
      </c>
      <c r="J67" s="42">
        <f>IF(J6=0,"",(1+Settings!$B$6)^-ROUNDUP(J8,0)*(1-(1+Settings!$B$6)^-Assumptions!$O$95)/(1-(1+Settings!$B$6)^-1))</f>
        <v/>
      </c>
      <c r="K67" s="42">
        <f>IF(K6=0,"",(1+Settings!$B$6)^-ROUNDUP(K8,0)*(1-(1+Settings!$B$6)^-Assumptions!$O$95)/(1-(1+Settings!$B$6)^-1))</f>
        <v/>
      </c>
      <c r="L67" s="42">
        <f>IF(L6=0,"",(1+Settings!$B$6)^-ROUNDUP(L8,0)*(1-(1+Settings!$B$6)^-Assumptions!$O$95)/(1-(1+Settings!$B$6)^-1))</f>
        <v/>
      </c>
      <c r="M67" s="42">
        <f>IF(M6=0,"",(1+Settings!$B$6)^-ROUNDUP(M8,0)*(1-(1+Settings!$B$6)^-Assumptions!$O$95)/(1-(1+Settings!$B$6)^-1))</f>
        <v/>
      </c>
      <c r="N67" s="42">
        <f>IF(N6=0,"",(1+Settings!$B$6)^-ROUNDUP(N8,0)*(1-(1+Settings!$B$6)^-Assumptions!$O$95)/(1-(1+Settings!$B$6)^-1))</f>
        <v/>
      </c>
      <c r="O67" s="42">
        <f>IF(O6=0,"",(1+Settings!$B$6)^-ROUNDUP(O8,0)*(1-(1+Settings!$B$6)^-Assumptions!$O$95)/(1-(1+Settings!$B$6)^-1))</f>
        <v/>
      </c>
      <c r="P67" s="42">
        <f>IF(P6=0,"",(1+Settings!$B$6)^-ROUNDUP(P8,0)*(1-(1+Settings!$B$6)^-Assumptions!$O$95)/(1-(1+Settings!$B$6)^-1))</f>
        <v/>
      </c>
      <c r="Q67" s="42">
        <f>IF(Q6=0,"",(1+Settings!$B$6)^-ROUNDUP(Q8,0)*(1-(1+Settings!$B$6)^-Assumptions!$O$95)/(1-(1+Settings!$B$6)^-1))</f>
        <v/>
      </c>
      <c r="R67" s="42">
        <f>IF(R6=0,"",(1+Settings!$B$6)^-ROUNDUP(R8,0)*(1-(1+Settings!$B$6)^-Assumptions!$O$95)/(1-(1+Settings!$B$6)^-1))</f>
        <v/>
      </c>
    </row>
    <row r="68">
      <c r="B68" s="4" t="inlineStr">
        <is>
          <t>Legacy of a permanent let, present value after optimism bias</t>
        </is>
      </c>
      <c r="C68" s="5" t="inlineStr">
        <is>
          <t>£</t>
        </is>
      </c>
      <c r="D68" s="45">
        <f>IF(D6=0,"",N(Inputs!$C$53)*D47*D67*(1-CHOOSE(6,0,0.05,0.1,0.15,0.25,0.4)))</f>
        <v/>
      </c>
      <c r="E68" s="45">
        <f>IF(E6=0,"",N(Inputs!$C$53)*E47*E67*(1-CHOOSE(6,0,0.05,0.1,0.15,0.25,0.4)))</f>
        <v/>
      </c>
      <c r="F68" s="45">
        <f>IF(F6=0,"",N(Inputs!$C$53)*F47*F67*(1-CHOOSE(6,0,0.05,0.1,0.15,0.25,0.4)))</f>
        <v/>
      </c>
      <c r="G68" s="45">
        <f>IF(G6=0,"",N(Inputs!$D$53)*G47*G67*(1-CHOOSE(6,0,0.05,0.1,0.15,0.25,0.4)))</f>
        <v/>
      </c>
      <c r="H68" s="45">
        <f>IF(H6=0,"",N(Inputs!$D$53)*H47*H67*(1-CHOOSE(6,0,0.05,0.1,0.15,0.25,0.4)))</f>
        <v/>
      </c>
      <c r="I68" s="45">
        <f>IF(I6=0,"",N(Inputs!$D$53)*I47*I67*(1-CHOOSE(6,0,0.05,0.1,0.15,0.25,0.4)))</f>
        <v/>
      </c>
      <c r="J68" s="45">
        <f>IF(J6=0,"",N(Inputs!$E$53)*J47*J67*(1-CHOOSE(6,0,0.05,0.1,0.15,0.25,0.4)))</f>
        <v/>
      </c>
      <c r="K68" s="45">
        <f>IF(K6=0,"",N(Inputs!$E$53)*K47*K67*(1-CHOOSE(6,0,0.05,0.1,0.15,0.25,0.4)))</f>
        <v/>
      </c>
      <c r="L68" s="45">
        <f>IF(L6=0,"",N(Inputs!$E$53)*L47*L67*(1-CHOOSE(6,0,0.05,0.1,0.15,0.25,0.4)))</f>
        <v/>
      </c>
      <c r="M68" s="45">
        <f>IF(M6=0,"",N(Inputs!$F$53)*M47*M67*(1-CHOOSE(6,0,0.05,0.1,0.15,0.25,0.4)))</f>
        <v/>
      </c>
      <c r="N68" s="45">
        <f>IF(N6=0,"",N(Inputs!$F$53)*N47*N67*(1-CHOOSE(6,0,0.05,0.1,0.15,0.25,0.4)))</f>
        <v/>
      </c>
      <c r="O68" s="45">
        <f>IF(O6=0,"",N(Inputs!$F$53)*O47*O67*(1-CHOOSE(6,0,0.05,0.1,0.15,0.25,0.4)))</f>
        <v/>
      </c>
      <c r="P68" s="45">
        <f>IF(P6=0,"",N(Inputs!$G$53)*P47*P67*(1-CHOOSE(6,0,0.05,0.1,0.15,0.25,0.4)))</f>
        <v/>
      </c>
      <c r="Q68" s="45">
        <f>IF(Q6=0,"",N(Inputs!$G$53)*Q47*Q67*(1-CHOOSE(6,0,0.05,0.1,0.15,0.25,0.4)))</f>
        <v/>
      </c>
      <c r="R68" s="45">
        <f>IF(R6=0,"",N(Inputs!$G$53)*R47*R67*(1-CHOOSE(6,0,0.05,0.1,0.15,0.25,0.4)))</f>
        <v/>
      </c>
    </row>
    <row r="69">
      <c r="B69" s="7" t="inlineStr">
        <is>
          <t>Business rates and rent (transfers)</t>
        </is>
      </c>
      <c r="D69" s="8" t="n"/>
      <c r="E69" s="8" t="n"/>
      <c r="F69" s="8" t="n"/>
      <c r="G69" s="8" t="n"/>
      <c r="H69" s="8" t="n"/>
      <c r="I69" s="8" t="n"/>
      <c r="J69" s="8" t="n"/>
      <c r="K69" s="8" t="n"/>
      <c r="L69" s="8" t="n"/>
      <c r="M69" s="8" t="n"/>
      <c r="N69" s="8" t="n"/>
      <c r="O69" s="8" t="n"/>
      <c r="P69" s="8" t="n"/>
      <c r="Q69" s="8" t="n"/>
      <c r="R69" s="8" t="n"/>
    </row>
    <row r="70">
      <c r="B70" s="4" t="inlineStr">
        <is>
          <t>Multiplier while occupied</t>
        </is>
      </c>
      <c r="C70" s="5" t="inlineStr"/>
      <c r="D70" s="46">
        <f>IF(D6=0,"",IF(Inputs!$C$13&gt;=500000,'Static Data'!$B$10,IF(Inputs!$C$13&lt;51000,IF(Inputs!$C$25="Yes",'Static Data'!$B$7,'Static Data'!$B$6),IF(Inputs!$C$25="Yes",'Static Data'!$B$9,'Static Data'!$B$8))))</f>
        <v/>
      </c>
      <c r="E70" s="46">
        <f>IF(E6=0,"",IF(Inputs!$C$13&gt;=500000,'Static Data'!$B$10,IF(Inputs!$C$13&lt;51000,IF(Inputs!$C$25="Yes",'Static Data'!$B$7,'Static Data'!$B$6),IF(Inputs!$C$25="Yes",'Static Data'!$B$9,'Static Data'!$B$8))))</f>
        <v/>
      </c>
      <c r="F70" s="46">
        <f>IF(F6=0,"",IF(Inputs!$C$13&gt;=500000,'Static Data'!$B$10,IF(Inputs!$C$13&lt;51000,IF(Inputs!$C$25="Yes",'Static Data'!$B$7,'Static Data'!$B$6),IF(Inputs!$C$25="Yes",'Static Data'!$B$9,'Static Data'!$B$8))))</f>
        <v/>
      </c>
      <c r="G70" s="46">
        <f>IF(G6=0,"",IF(Inputs!$D$13&gt;=500000,'Static Data'!$B$10,IF(Inputs!$D$13&lt;51000,IF(Inputs!$D$25="Yes",'Static Data'!$B$7,'Static Data'!$B$6),IF(Inputs!$D$25="Yes",'Static Data'!$B$9,'Static Data'!$B$8))))</f>
        <v/>
      </c>
      <c r="H70" s="46">
        <f>IF(H6=0,"",IF(Inputs!$D$13&gt;=500000,'Static Data'!$B$10,IF(Inputs!$D$13&lt;51000,IF(Inputs!$D$25="Yes",'Static Data'!$B$7,'Static Data'!$B$6),IF(Inputs!$D$25="Yes",'Static Data'!$B$9,'Static Data'!$B$8))))</f>
        <v/>
      </c>
      <c r="I70" s="46">
        <f>IF(I6=0,"",IF(Inputs!$D$13&gt;=500000,'Static Data'!$B$10,IF(Inputs!$D$13&lt;51000,IF(Inputs!$D$25="Yes",'Static Data'!$B$7,'Static Data'!$B$6),IF(Inputs!$D$25="Yes",'Static Data'!$B$9,'Static Data'!$B$8))))</f>
        <v/>
      </c>
      <c r="J70" s="46">
        <f>IF(J6=0,"",IF(Inputs!$E$13&gt;=500000,'Static Data'!$B$10,IF(Inputs!$E$13&lt;51000,IF(Inputs!$E$25="Yes",'Static Data'!$B$7,'Static Data'!$B$6),IF(Inputs!$E$25="Yes",'Static Data'!$B$9,'Static Data'!$B$8))))</f>
        <v/>
      </c>
      <c r="K70" s="46">
        <f>IF(K6=0,"",IF(Inputs!$E$13&gt;=500000,'Static Data'!$B$10,IF(Inputs!$E$13&lt;51000,IF(Inputs!$E$25="Yes",'Static Data'!$B$7,'Static Data'!$B$6),IF(Inputs!$E$25="Yes",'Static Data'!$B$9,'Static Data'!$B$8))))</f>
        <v/>
      </c>
      <c r="L70" s="46">
        <f>IF(L6=0,"",IF(Inputs!$E$13&gt;=500000,'Static Data'!$B$10,IF(Inputs!$E$13&lt;51000,IF(Inputs!$E$25="Yes",'Static Data'!$B$7,'Static Data'!$B$6),IF(Inputs!$E$25="Yes",'Static Data'!$B$9,'Static Data'!$B$8))))</f>
        <v/>
      </c>
      <c r="M70" s="46">
        <f>IF(M6=0,"",IF(Inputs!$F$13&gt;=500000,'Static Data'!$B$10,IF(Inputs!$F$13&lt;51000,IF(Inputs!$F$25="Yes",'Static Data'!$B$7,'Static Data'!$B$6),IF(Inputs!$F$25="Yes",'Static Data'!$B$9,'Static Data'!$B$8))))</f>
        <v/>
      </c>
      <c r="N70" s="46">
        <f>IF(N6=0,"",IF(Inputs!$F$13&gt;=500000,'Static Data'!$B$10,IF(Inputs!$F$13&lt;51000,IF(Inputs!$F$25="Yes",'Static Data'!$B$7,'Static Data'!$B$6),IF(Inputs!$F$25="Yes",'Static Data'!$B$9,'Static Data'!$B$8))))</f>
        <v/>
      </c>
      <c r="O70" s="46">
        <f>IF(O6=0,"",IF(Inputs!$F$13&gt;=500000,'Static Data'!$B$10,IF(Inputs!$F$13&lt;51000,IF(Inputs!$F$25="Yes",'Static Data'!$B$7,'Static Data'!$B$6),IF(Inputs!$F$25="Yes",'Static Data'!$B$9,'Static Data'!$B$8))))</f>
        <v/>
      </c>
      <c r="P70" s="46">
        <f>IF(P6=0,"",IF(Inputs!$G$13&gt;=500000,'Static Data'!$B$10,IF(Inputs!$G$13&lt;51000,IF(Inputs!$G$25="Yes",'Static Data'!$B$7,'Static Data'!$B$6),IF(Inputs!$G$25="Yes",'Static Data'!$B$9,'Static Data'!$B$8))))</f>
        <v/>
      </c>
      <c r="Q70" s="46">
        <f>IF(Q6=0,"",IF(Inputs!$G$13&gt;=500000,'Static Data'!$B$10,IF(Inputs!$G$13&lt;51000,IF(Inputs!$G$25="Yes",'Static Data'!$B$7,'Static Data'!$B$6),IF(Inputs!$G$25="Yes",'Static Data'!$B$9,'Static Data'!$B$8))))</f>
        <v/>
      </c>
      <c r="R70" s="46">
        <f>IF(R6=0,"",IF(Inputs!$G$13&gt;=500000,'Static Data'!$B$10,IF(Inputs!$G$13&lt;51000,IF(Inputs!$G$25="Yes",'Static Data'!$B$7,'Static Data'!$B$6),IF(Inputs!$G$25="Yes",'Static Data'!$B$9,'Static Data'!$B$8))))</f>
        <v/>
      </c>
    </row>
    <row r="71">
      <c r="B71" s="4" t="inlineStr">
        <is>
          <t>Rates bill while occupied</t>
        </is>
      </c>
      <c r="C71" s="5" t="inlineStr">
        <is>
          <t>£ a year</t>
        </is>
      </c>
      <c r="D71" s="45">
        <f>IF(D6=0,"",Inputs!$C$13*D70)</f>
        <v/>
      </c>
      <c r="E71" s="45">
        <f>IF(E6=0,"",Inputs!$C$13*E70)</f>
        <v/>
      </c>
      <c r="F71" s="45">
        <f>IF(F6=0,"",Inputs!$C$13*F70)</f>
        <v/>
      </c>
      <c r="G71" s="45">
        <f>IF(G6=0,"",Inputs!$D$13*G70)</f>
        <v/>
      </c>
      <c r="H71" s="45">
        <f>IF(H6=0,"",Inputs!$D$13*H70)</f>
        <v/>
      </c>
      <c r="I71" s="45">
        <f>IF(I6=0,"",Inputs!$D$13*I70)</f>
        <v/>
      </c>
      <c r="J71" s="45">
        <f>IF(J6=0,"",Inputs!$E$13*J70)</f>
        <v/>
      </c>
      <c r="K71" s="45">
        <f>IF(K6=0,"",Inputs!$E$13*K70)</f>
        <v/>
      </c>
      <c r="L71" s="45">
        <f>IF(L6=0,"",Inputs!$E$13*L70)</f>
        <v/>
      </c>
      <c r="M71" s="45">
        <f>IF(M6=0,"",Inputs!$F$13*M70)</f>
        <v/>
      </c>
      <c r="N71" s="45">
        <f>IF(N6=0,"",Inputs!$F$13*N70)</f>
        <v/>
      </c>
      <c r="O71" s="45">
        <f>IF(O6=0,"",Inputs!$F$13*O70)</f>
        <v/>
      </c>
      <c r="P71" s="45">
        <f>IF(P6=0,"",Inputs!$G$13*P70)</f>
        <v/>
      </c>
      <c r="Q71" s="45">
        <f>IF(Q6=0,"",Inputs!$G$13*Q70)</f>
        <v/>
      </c>
      <c r="R71" s="45">
        <f>IF(R6=0,"",Inputs!$G$13*R70)</f>
        <v/>
      </c>
    </row>
    <row r="72">
      <c r="B72" s="4" t="inlineStr">
        <is>
          <t>Mandatory or small business relief</t>
        </is>
      </c>
      <c r="C72" s="5" t="inlineStr">
        <is>
          <t>share</t>
        </is>
      </c>
      <c r="D72" s="43">
        <f>IF(D6=0,"",IF(Inputs!$C$24="Charity",'Static Data'!$B$14,IF(Inputs!$C$24="Small business (only property)",IF(Inputs!$C$13&lt;='Static Data'!$B$12,1,IF(Inputs!$C$13&lt;'Static Data'!$B$13,('Static Data'!$B$13-Inputs!$C$13)/('Static Data'!$B$13-'Static Data'!$B$12),0)),0)))</f>
        <v/>
      </c>
      <c r="E72" s="43">
        <f>IF(E6=0,"",IF(Inputs!$C$24="Charity",'Static Data'!$B$14,IF(Inputs!$C$24="Small business (only property)",IF(Inputs!$C$13&lt;='Static Data'!$B$12,1,IF(Inputs!$C$13&lt;'Static Data'!$B$13,('Static Data'!$B$13-Inputs!$C$13)/('Static Data'!$B$13-'Static Data'!$B$12),0)),0)))</f>
        <v/>
      </c>
      <c r="F72" s="43">
        <f>IF(F6=0,"",IF(Inputs!$C$24="Charity",'Static Data'!$B$14,IF(Inputs!$C$24="Small business (only property)",IF(Inputs!$C$13&lt;='Static Data'!$B$12,1,IF(Inputs!$C$13&lt;'Static Data'!$B$13,('Static Data'!$B$13-Inputs!$C$13)/('Static Data'!$B$13-'Static Data'!$B$12),0)),0)))</f>
        <v/>
      </c>
      <c r="G72" s="43">
        <f>IF(G6=0,"",IF(Inputs!$D$24="Charity",'Static Data'!$B$14,IF(Inputs!$D$24="Small business (only property)",IF(Inputs!$D$13&lt;='Static Data'!$B$12,1,IF(Inputs!$D$13&lt;'Static Data'!$B$13,('Static Data'!$B$13-Inputs!$D$13)/('Static Data'!$B$13-'Static Data'!$B$12),0)),0)))</f>
        <v/>
      </c>
      <c r="H72" s="43">
        <f>IF(H6=0,"",IF(Inputs!$D$24="Charity",'Static Data'!$B$14,IF(Inputs!$D$24="Small business (only property)",IF(Inputs!$D$13&lt;='Static Data'!$B$12,1,IF(Inputs!$D$13&lt;'Static Data'!$B$13,('Static Data'!$B$13-Inputs!$D$13)/('Static Data'!$B$13-'Static Data'!$B$12),0)),0)))</f>
        <v/>
      </c>
      <c r="I72" s="43">
        <f>IF(I6=0,"",IF(Inputs!$D$24="Charity",'Static Data'!$B$14,IF(Inputs!$D$24="Small business (only property)",IF(Inputs!$D$13&lt;='Static Data'!$B$12,1,IF(Inputs!$D$13&lt;'Static Data'!$B$13,('Static Data'!$B$13-Inputs!$D$13)/('Static Data'!$B$13-'Static Data'!$B$12),0)),0)))</f>
        <v/>
      </c>
      <c r="J72" s="43">
        <f>IF(J6=0,"",IF(Inputs!$E$24="Charity",'Static Data'!$B$14,IF(Inputs!$E$24="Small business (only property)",IF(Inputs!$E$13&lt;='Static Data'!$B$12,1,IF(Inputs!$E$13&lt;'Static Data'!$B$13,('Static Data'!$B$13-Inputs!$E$13)/('Static Data'!$B$13-'Static Data'!$B$12),0)),0)))</f>
        <v/>
      </c>
      <c r="K72" s="43">
        <f>IF(K6=0,"",IF(Inputs!$E$24="Charity",'Static Data'!$B$14,IF(Inputs!$E$24="Small business (only property)",IF(Inputs!$E$13&lt;='Static Data'!$B$12,1,IF(Inputs!$E$13&lt;'Static Data'!$B$13,('Static Data'!$B$13-Inputs!$E$13)/('Static Data'!$B$13-'Static Data'!$B$12),0)),0)))</f>
        <v/>
      </c>
      <c r="L72" s="43">
        <f>IF(L6=0,"",IF(Inputs!$E$24="Charity",'Static Data'!$B$14,IF(Inputs!$E$24="Small business (only property)",IF(Inputs!$E$13&lt;='Static Data'!$B$12,1,IF(Inputs!$E$13&lt;'Static Data'!$B$13,('Static Data'!$B$13-Inputs!$E$13)/('Static Data'!$B$13-'Static Data'!$B$12),0)),0)))</f>
        <v/>
      </c>
      <c r="M72" s="43">
        <f>IF(M6=0,"",IF(Inputs!$F$24="Charity",'Static Data'!$B$14,IF(Inputs!$F$24="Small business (only property)",IF(Inputs!$F$13&lt;='Static Data'!$B$12,1,IF(Inputs!$F$13&lt;'Static Data'!$B$13,('Static Data'!$B$13-Inputs!$F$13)/('Static Data'!$B$13-'Static Data'!$B$12),0)),0)))</f>
        <v/>
      </c>
      <c r="N72" s="43">
        <f>IF(N6=0,"",IF(Inputs!$F$24="Charity",'Static Data'!$B$14,IF(Inputs!$F$24="Small business (only property)",IF(Inputs!$F$13&lt;='Static Data'!$B$12,1,IF(Inputs!$F$13&lt;'Static Data'!$B$13,('Static Data'!$B$13-Inputs!$F$13)/('Static Data'!$B$13-'Static Data'!$B$12),0)),0)))</f>
        <v/>
      </c>
      <c r="O72" s="43">
        <f>IF(O6=0,"",IF(Inputs!$F$24="Charity",'Static Data'!$B$14,IF(Inputs!$F$24="Small business (only property)",IF(Inputs!$F$13&lt;='Static Data'!$B$12,1,IF(Inputs!$F$13&lt;'Static Data'!$B$13,('Static Data'!$B$13-Inputs!$F$13)/('Static Data'!$B$13-'Static Data'!$B$12),0)),0)))</f>
        <v/>
      </c>
      <c r="P72" s="43">
        <f>IF(P6=0,"",IF(Inputs!$G$24="Charity",'Static Data'!$B$14,IF(Inputs!$G$24="Small business (only property)",IF(Inputs!$G$13&lt;='Static Data'!$B$12,1,IF(Inputs!$G$13&lt;'Static Data'!$B$13,('Static Data'!$B$13-Inputs!$G$13)/('Static Data'!$B$13-'Static Data'!$B$12),0)),0)))</f>
        <v/>
      </c>
      <c r="Q72" s="43">
        <f>IF(Q6=0,"",IF(Inputs!$G$24="Charity",'Static Data'!$B$14,IF(Inputs!$G$24="Small business (only property)",IF(Inputs!$G$13&lt;='Static Data'!$B$12,1,IF(Inputs!$G$13&lt;'Static Data'!$B$13,('Static Data'!$B$13-Inputs!$G$13)/('Static Data'!$B$13-'Static Data'!$B$12),0)),0)))</f>
        <v/>
      </c>
      <c r="R72" s="43">
        <f>IF(R6=0,"",IF(Inputs!$G$24="Charity",'Static Data'!$B$14,IF(Inputs!$G$24="Small business (only property)",IF(Inputs!$G$13&lt;='Static Data'!$B$12,1,IF(Inputs!$G$13&lt;'Static Data'!$B$13,('Static Data'!$B$13-Inputs!$G$13)/('Static Data'!$B$13-'Static Data'!$B$12),0)),0)))</f>
        <v/>
      </c>
    </row>
    <row r="73">
      <c r="B73" s="4" t="inlineStr">
        <is>
          <t>Total relief</t>
        </is>
      </c>
      <c r="C73" s="5" t="inlineStr">
        <is>
          <t>share</t>
        </is>
      </c>
      <c r="D73" s="43">
        <f>IF(D6=0,"",D72+(1-D72)*N(Inputs!$C$26))</f>
        <v/>
      </c>
      <c r="E73" s="43">
        <f>IF(E6=0,"",E72+(1-E72)*N(Inputs!$C$26))</f>
        <v/>
      </c>
      <c r="F73" s="43">
        <f>IF(F6=0,"",F72+(1-F72)*N(Inputs!$C$26))</f>
        <v/>
      </c>
      <c r="G73" s="43">
        <f>IF(G6=0,"",G72+(1-G72)*N(Inputs!$D$26))</f>
        <v/>
      </c>
      <c r="H73" s="43">
        <f>IF(H6=0,"",H72+(1-H72)*N(Inputs!$D$26))</f>
        <v/>
      </c>
      <c r="I73" s="43">
        <f>IF(I6=0,"",I72+(1-I72)*N(Inputs!$D$26))</f>
        <v/>
      </c>
      <c r="J73" s="43">
        <f>IF(J6=0,"",J72+(1-J72)*N(Inputs!$E$26))</f>
        <v/>
      </c>
      <c r="K73" s="43">
        <f>IF(K6=0,"",K72+(1-K72)*N(Inputs!$E$26))</f>
        <v/>
      </c>
      <c r="L73" s="43">
        <f>IF(L6=0,"",L72+(1-L72)*N(Inputs!$E$26))</f>
        <v/>
      </c>
      <c r="M73" s="43">
        <f>IF(M6=0,"",M72+(1-M72)*N(Inputs!$F$26))</f>
        <v/>
      </c>
      <c r="N73" s="43">
        <f>IF(N6=0,"",N72+(1-N72)*N(Inputs!$F$26))</f>
        <v/>
      </c>
      <c r="O73" s="43">
        <f>IF(O6=0,"",O72+(1-O72)*N(Inputs!$F$26))</f>
        <v/>
      </c>
      <c r="P73" s="43">
        <f>IF(P6=0,"",P72+(1-P72)*N(Inputs!$G$26))</f>
        <v/>
      </c>
      <c r="Q73" s="43">
        <f>IF(Q6=0,"",Q72+(1-Q72)*N(Inputs!$G$26))</f>
        <v/>
      </c>
      <c r="R73" s="43">
        <f>IF(R6=0,"",R72+(1-R72)*N(Inputs!$G$26))</f>
        <v/>
      </c>
    </row>
    <row r="74">
      <c r="B74" s="4" t="inlineStr">
        <is>
          <t>Rates paid while occupied</t>
        </is>
      </c>
      <c r="C74" s="5" t="inlineStr">
        <is>
          <t>£ a year</t>
        </is>
      </c>
      <c r="D74" s="45">
        <f>IF(D6=0,"",D71*(1-D73))</f>
        <v/>
      </c>
      <c r="E74" s="45">
        <f>IF(E6=0,"",E71*(1-E73))</f>
        <v/>
      </c>
      <c r="F74" s="45">
        <f>IF(F6=0,"",F71*(1-F73))</f>
        <v/>
      </c>
      <c r="G74" s="45">
        <f>IF(G6=0,"",G71*(1-G73))</f>
        <v/>
      </c>
      <c r="H74" s="45">
        <f>IF(H6=0,"",H71*(1-H73))</f>
        <v/>
      </c>
      <c r="I74" s="45">
        <f>IF(I6=0,"",I71*(1-I73))</f>
        <v/>
      </c>
      <c r="J74" s="45">
        <f>IF(J6=0,"",J71*(1-J73))</f>
        <v/>
      </c>
      <c r="K74" s="45">
        <f>IF(K6=0,"",K71*(1-K73))</f>
        <v/>
      </c>
      <c r="L74" s="45">
        <f>IF(L6=0,"",L71*(1-L73))</f>
        <v/>
      </c>
      <c r="M74" s="45">
        <f>IF(M6=0,"",M71*(1-M73))</f>
        <v/>
      </c>
      <c r="N74" s="45">
        <f>IF(N6=0,"",N71*(1-N73))</f>
        <v/>
      </c>
      <c r="O74" s="45">
        <f>IF(O6=0,"",O71*(1-O73))</f>
        <v/>
      </c>
      <c r="P74" s="45">
        <f>IF(P6=0,"",P71*(1-P73))</f>
        <v/>
      </c>
      <c r="Q74" s="45">
        <f>IF(Q6=0,"",Q71*(1-Q73))</f>
        <v/>
      </c>
      <c r="R74" s="45">
        <f>IF(R6=0,"",R71*(1-R73))</f>
        <v/>
      </c>
    </row>
    <row r="75">
      <c r="B75" s="4" t="inlineStr">
        <is>
          <t>Rates paid if left empty (Business as Usual)</t>
        </is>
      </c>
      <c r="C75" s="5" t="inlineStr">
        <is>
          <t>£ a year</t>
        </is>
      </c>
      <c r="D75" s="45">
        <f>IF(D6=0,"",IF(OR(Inputs!$C$13&lt;'Static Data'!$B$11,Inputs!$C$14="Yes",Inputs!$C$15="Council"),0,Inputs!$C$13*IF(Inputs!$C$13&gt;=500000,'Static Data'!$B$10,IF(Inputs!$C$13&lt;51000,'Static Data'!$B$6,'Static Data'!$B$8))))</f>
        <v/>
      </c>
      <c r="E75" s="45">
        <f>IF(E6=0,"",IF(OR(Inputs!$C$13&lt;'Static Data'!$B$11,Inputs!$C$14="Yes",Inputs!$C$15="Council"),0,Inputs!$C$13*IF(Inputs!$C$13&gt;=500000,'Static Data'!$B$10,IF(Inputs!$C$13&lt;51000,'Static Data'!$B$6,'Static Data'!$B$8))))</f>
        <v/>
      </c>
      <c r="F75" s="45">
        <f>IF(F6=0,"",IF(OR(Inputs!$C$13&lt;'Static Data'!$B$11,Inputs!$C$14="Yes",Inputs!$C$15="Council"),0,Inputs!$C$13*IF(Inputs!$C$13&gt;=500000,'Static Data'!$B$10,IF(Inputs!$C$13&lt;51000,'Static Data'!$B$6,'Static Data'!$B$8))))</f>
        <v/>
      </c>
      <c r="G75" s="45">
        <f>IF(G6=0,"",IF(OR(Inputs!$D$13&lt;'Static Data'!$B$11,Inputs!$D$14="Yes",Inputs!$D$15="Council"),0,Inputs!$D$13*IF(Inputs!$D$13&gt;=500000,'Static Data'!$B$10,IF(Inputs!$D$13&lt;51000,'Static Data'!$B$6,'Static Data'!$B$8))))</f>
        <v/>
      </c>
      <c r="H75" s="45">
        <f>IF(H6=0,"",IF(OR(Inputs!$D$13&lt;'Static Data'!$B$11,Inputs!$D$14="Yes",Inputs!$D$15="Council"),0,Inputs!$D$13*IF(Inputs!$D$13&gt;=500000,'Static Data'!$B$10,IF(Inputs!$D$13&lt;51000,'Static Data'!$B$6,'Static Data'!$B$8))))</f>
        <v/>
      </c>
      <c r="I75" s="45">
        <f>IF(I6=0,"",IF(OR(Inputs!$D$13&lt;'Static Data'!$B$11,Inputs!$D$14="Yes",Inputs!$D$15="Council"),0,Inputs!$D$13*IF(Inputs!$D$13&gt;=500000,'Static Data'!$B$10,IF(Inputs!$D$13&lt;51000,'Static Data'!$B$6,'Static Data'!$B$8))))</f>
        <v/>
      </c>
      <c r="J75" s="45">
        <f>IF(J6=0,"",IF(OR(Inputs!$E$13&lt;'Static Data'!$B$11,Inputs!$E$14="Yes",Inputs!$E$15="Council"),0,Inputs!$E$13*IF(Inputs!$E$13&gt;=500000,'Static Data'!$B$10,IF(Inputs!$E$13&lt;51000,'Static Data'!$B$6,'Static Data'!$B$8))))</f>
        <v/>
      </c>
      <c r="K75" s="45">
        <f>IF(K6=0,"",IF(OR(Inputs!$E$13&lt;'Static Data'!$B$11,Inputs!$E$14="Yes",Inputs!$E$15="Council"),0,Inputs!$E$13*IF(Inputs!$E$13&gt;=500000,'Static Data'!$B$10,IF(Inputs!$E$13&lt;51000,'Static Data'!$B$6,'Static Data'!$B$8))))</f>
        <v/>
      </c>
      <c r="L75" s="45">
        <f>IF(L6=0,"",IF(OR(Inputs!$E$13&lt;'Static Data'!$B$11,Inputs!$E$14="Yes",Inputs!$E$15="Council"),0,Inputs!$E$13*IF(Inputs!$E$13&gt;=500000,'Static Data'!$B$10,IF(Inputs!$E$13&lt;51000,'Static Data'!$B$6,'Static Data'!$B$8))))</f>
        <v/>
      </c>
      <c r="M75" s="45">
        <f>IF(M6=0,"",IF(OR(Inputs!$F$13&lt;'Static Data'!$B$11,Inputs!$F$14="Yes",Inputs!$F$15="Council"),0,Inputs!$F$13*IF(Inputs!$F$13&gt;=500000,'Static Data'!$B$10,IF(Inputs!$F$13&lt;51000,'Static Data'!$B$6,'Static Data'!$B$8))))</f>
        <v/>
      </c>
      <c r="N75" s="45">
        <f>IF(N6=0,"",IF(OR(Inputs!$F$13&lt;'Static Data'!$B$11,Inputs!$F$14="Yes",Inputs!$F$15="Council"),0,Inputs!$F$13*IF(Inputs!$F$13&gt;=500000,'Static Data'!$B$10,IF(Inputs!$F$13&lt;51000,'Static Data'!$B$6,'Static Data'!$B$8))))</f>
        <v/>
      </c>
      <c r="O75" s="45">
        <f>IF(O6=0,"",IF(OR(Inputs!$F$13&lt;'Static Data'!$B$11,Inputs!$F$14="Yes",Inputs!$F$15="Council"),0,Inputs!$F$13*IF(Inputs!$F$13&gt;=500000,'Static Data'!$B$10,IF(Inputs!$F$13&lt;51000,'Static Data'!$B$6,'Static Data'!$B$8))))</f>
        <v/>
      </c>
      <c r="P75" s="45">
        <f>IF(P6=0,"",IF(OR(Inputs!$G$13&lt;'Static Data'!$B$11,Inputs!$G$14="Yes",Inputs!$G$15="Council"),0,Inputs!$G$13*IF(Inputs!$G$13&gt;=500000,'Static Data'!$B$10,IF(Inputs!$G$13&lt;51000,'Static Data'!$B$6,'Static Data'!$B$8))))</f>
        <v/>
      </c>
      <c r="Q75" s="45">
        <f>IF(Q6=0,"",IF(OR(Inputs!$G$13&lt;'Static Data'!$B$11,Inputs!$G$14="Yes",Inputs!$G$15="Council"),0,Inputs!$G$13*IF(Inputs!$G$13&gt;=500000,'Static Data'!$B$10,IF(Inputs!$G$13&lt;51000,'Static Data'!$B$6,'Static Data'!$B$8))))</f>
        <v/>
      </c>
      <c r="R75" s="45">
        <f>IF(R6=0,"",IF(OR(Inputs!$G$13&lt;'Static Data'!$B$11,Inputs!$G$14="Yes",Inputs!$G$15="Council"),0,Inputs!$G$13*IF(Inputs!$G$13&gt;=500000,'Static Data'!$B$10,IF(Inputs!$G$13&lt;51000,'Static Data'!$B$6,'Static Data'!$B$8))))</f>
        <v/>
      </c>
    </row>
    <row r="76">
      <c r="B76" s="4" t="inlineStr">
        <is>
          <t>Empty exemption restarted after the occupation, present value</t>
        </is>
      </c>
      <c r="C76" s="5" t="inlineStr">
        <is>
          <t>£</t>
        </is>
      </c>
      <c r="D76" s="45">
        <f>IF(D6=0,"",IF(D7*52/12&gt;='Static Data'!$B$15,'Static Data'!$B$16/12*D75*D16,0))</f>
        <v/>
      </c>
      <c r="E76" s="45">
        <f>IF(E6=0,"",IF(E7*52/12&gt;='Static Data'!$B$15,'Static Data'!$B$16/12*E75*E16,0))</f>
        <v/>
      </c>
      <c r="F76" s="45">
        <f>IF(F6=0,"",IF(F7*52/12&gt;='Static Data'!$B$15,'Static Data'!$B$16/12*F75*F16,0))</f>
        <v/>
      </c>
      <c r="G76" s="45">
        <f>IF(G6=0,"",IF(G7*52/12&gt;='Static Data'!$B$15,'Static Data'!$B$16/12*G75*G16,0))</f>
        <v/>
      </c>
      <c r="H76" s="45">
        <f>IF(H6=0,"",IF(H7*52/12&gt;='Static Data'!$B$15,'Static Data'!$B$16/12*H75*H16,0))</f>
        <v/>
      </c>
      <c r="I76" s="45">
        <f>IF(I6=0,"",IF(I7*52/12&gt;='Static Data'!$B$15,'Static Data'!$B$16/12*I75*I16,0))</f>
        <v/>
      </c>
      <c r="J76" s="45">
        <f>IF(J6=0,"",IF(J7*52/12&gt;='Static Data'!$B$15,'Static Data'!$B$16/12*J75*J16,0))</f>
        <v/>
      </c>
      <c r="K76" s="45">
        <f>IF(K6=0,"",IF(K7*52/12&gt;='Static Data'!$B$15,'Static Data'!$B$16/12*K75*K16,0))</f>
        <v/>
      </c>
      <c r="L76" s="45">
        <f>IF(L6=0,"",IF(L7*52/12&gt;='Static Data'!$B$15,'Static Data'!$B$16/12*L75*L16,0))</f>
        <v/>
      </c>
      <c r="M76" s="45">
        <f>IF(M6=0,"",IF(M7*52/12&gt;='Static Data'!$B$15,'Static Data'!$B$16/12*M75*M16,0))</f>
        <v/>
      </c>
      <c r="N76" s="45">
        <f>IF(N6=0,"",IF(N7*52/12&gt;='Static Data'!$B$15,'Static Data'!$B$16/12*N75*N16,0))</f>
        <v/>
      </c>
      <c r="O76" s="45">
        <f>IF(O6=0,"",IF(O7*52/12&gt;='Static Data'!$B$15,'Static Data'!$B$16/12*O75*O16,0))</f>
        <v/>
      </c>
      <c r="P76" s="45">
        <f>IF(P6=0,"",IF(P7*52/12&gt;='Static Data'!$B$15,'Static Data'!$B$16/12*P75*P16,0))</f>
        <v/>
      </c>
      <c r="Q76" s="45">
        <f>IF(Q6=0,"",IF(Q7*52/12&gt;='Static Data'!$B$15,'Static Data'!$B$16/12*Q75*Q16,0))</f>
        <v/>
      </c>
      <c r="R76" s="45">
        <f>IF(R6=0,"",IF(R7*52/12&gt;='Static Data'!$B$15,'Static Data'!$B$16/12*R75*R16,0))</f>
        <v/>
      </c>
    </row>
    <row r="77">
      <c r="B77" s="4" t="inlineStr">
        <is>
          <t>Rates a blocked commercial tenant would have paid, present value (lost, no recipient)</t>
        </is>
      </c>
      <c r="C77" s="5" t="inlineStr">
        <is>
          <t>£</t>
        </is>
      </c>
      <c r="D77" s="45">
        <f>IF(D6=0,"",IF(D24=1,0,-D22*D71*D14))</f>
        <v/>
      </c>
      <c r="E77" s="45">
        <f>IF(E6=0,"",IF(E24=1,0,-E22*E71*E14))</f>
        <v/>
      </c>
      <c r="F77" s="45">
        <f>IF(F6=0,"",IF(F24=1,0,-F22*F71*F14))</f>
        <v/>
      </c>
      <c r="G77" s="45">
        <f>IF(G6=0,"",IF(G24=1,0,-G22*G71*G14))</f>
        <v/>
      </c>
      <c r="H77" s="45">
        <f>IF(H6=0,"",IF(H24=1,0,-H22*H71*H14))</f>
        <v/>
      </c>
      <c r="I77" s="45">
        <f>IF(I6=0,"",IF(I24=1,0,-I22*I71*I14))</f>
        <v/>
      </c>
      <c r="J77" s="45">
        <f>IF(J6=0,"",IF(J24=1,0,-J22*J71*J14))</f>
        <v/>
      </c>
      <c r="K77" s="45">
        <f>IF(K6=0,"",IF(K24=1,0,-K22*K71*K14))</f>
        <v/>
      </c>
      <c r="L77" s="45">
        <f>IF(L6=0,"",IF(L24=1,0,-L22*L71*L14))</f>
        <v/>
      </c>
      <c r="M77" s="45">
        <f>IF(M6=0,"",IF(M24=1,0,-M22*M71*M14))</f>
        <v/>
      </c>
      <c r="N77" s="45">
        <f>IF(N6=0,"",IF(N24=1,0,-N22*N71*N14))</f>
        <v/>
      </c>
      <c r="O77" s="45">
        <f>IF(O6=0,"",IF(O24=1,0,-O22*O71*O14))</f>
        <v/>
      </c>
      <c r="P77" s="45">
        <f>IF(P6=0,"",IF(P24=1,0,-P22*P71*P14))</f>
        <v/>
      </c>
      <c r="Q77" s="45">
        <f>IF(Q6=0,"",IF(Q24=1,0,-Q22*Q71*Q14))</f>
        <v/>
      </c>
      <c r="R77" s="45">
        <f>IF(R6=0,"",IF(R24=1,0,-R22*R71*R14))</f>
        <v/>
      </c>
    </row>
    <row r="78">
      <c r="B78" s="4" t="inlineStr">
        <is>
          <t>Change in public rates income, present value</t>
        </is>
      </c>
      <c r="C78" s="5" t="inlineStr">
        <is>
          <t>£</t>
        </is>
      </c>
      <c r="D78" s="45">
        <f>IF(D6=0,"",IF(D24=1,D25*((D74-D75)*D14-D76),(D74-D25*D75)*D14-D25*D76+D77))</f>
        <v/>
      </c>
      <c r="E78" s="45">
        <f>IF(E6=0,"",IF(E24=1,E25*((E74-E75)*E14-E76),(E74-E25*E75)*E14-E25*E76+E77))</f>
        <v/>
      </c>
      <c r="F78" s="45">
        <f>IF(F6=0,"",IF(F24=1,F25*((F74-F75)*F14-F76),(F74-F25*F75)*F14-F25*F76+F77))</f>
        <v/>
      </c>
      <c r="G78" s="45">
        <f>IF(G6=0,"",IF(G24=1,G25*((G74-G75)*G14-G76),(G74-G25*G75)*G14-G25*G76+G77))</f>
        <v/>
      </c>
      <c r="H78" s="45">
        <f>IF(H6=0,"",IF(H24=1,H25*((H74-H75)*H14-H76),(H74-H25*H75)*H14-H25*H76+H77))</f>
        <v/>
      </c>
      <c r="I78" s="45">
        <f>IF(I6=0,"",IF(I24=1,I25*((I74-I75)*I14-I76),(I74-I25*I75)*I14-I25*I76+I77))</f>
        <v/>
      </c>
      <c r="J78" s="45">
        <f>IF(J6=0,"",IF(J24=1,J25*((J74-J75)*J14-J76),(J74-J25*J75)*J14-J25*J76+J77))</f>
        <v/>
      </c>
      <c r="K78" s="45">
        <f>IF(K6=0,"",IF(K24=1,K25*((K74-K75)*K14-K76),(K74-K25*K75)*K14-K25*K76+K77))</f>
        <v/>
      </c>
      <c r="L78" s="45">
        <f>IF(L6=0,"",IF(L24=1,L25*((L74-L75)*L14-L76),(L74-L25*L75)*L14-L25*L76+L77))</f>
        <v/>
      </c>
      <c r="M78" s="45">
        <f>IF(M6=0,"",IF(M24=1,M25*((M74-M75)*M14-M76),(M74-M25*M75)*M14-M25*M76+M77))</f>
        <v/>
      </c>
      <c r="N78" s="45">
        <f>IF(N6=0,"",IF(N24=1,N25*((N74-N75)*N14-N76),(N74-N25*N75)*N14-N25*N76+N77))</f>
        <v/>
      </c>
      <c r="O78" s="45">
        <f>IF(O6=0,"",IF(O24=1,O25*((O74-O75)*O14-O76),(O74-O25*O75)*O14-O25*O76+O77))</f>
        <v/>
      </c>
      <c r="P78" s="45">
        <f>IF(P6=0,"",IF(P24=1,P25*((P74-P75)*P14-P76),(P74-P25*P75)*P14-P25*P76+P77))</f>
        <v/>
      </c>
      <c r="Q78" s="45">
        <f>IF(Q6=0,"",IF(Q24=1,Q25*((Q74-Q75)*Q14-Q76),(Q74-Q25*Q75)*Q14-Q25*Q76+Q77))</f>
        <v/>
      </c>
      <c r="R78" s="45">
        <f>IF(R6=0,"",IF(R24=1,R25*((R74-R75)*R14-R76),(R74-R25*R75)*R14-R25*R76+R77))</f>
        <v/>
      </c>
    </row>
    <row r="79">
      <c r="B79" s="4" t="inlineStr">
        <is>
          <t>Rent paid by the council to the landlord, present value</t>
        </is>
      </c>
      <c r="C79" s="5" t="inlineStr">
        <is>
          <t>£</t>
        </is>
      </c>
      <c r="D79" s="45">
        <f>IF(D6=0,"",IF(Inputs!$C$15="Council",0,N(Inputs!$C$23)*D14))</f>
        <v/>
      </c>
      <c r="E79" s="45">
        <f>IF(E6=0,"",IF(Inputs!$C$15="Council",0,N(Inputs!$C$23)*E14))</f>
        <v/>
      </c>
      <c r="F79" s="45">
        <f>IF(F6=0,"",IF(Inputs!$C$15="Council",0,N(Inputs!$C$23)*F14))</f>
        <v/>
      </c>
      <c r="G79" s="45">
        <f>IF(G6=0,"",IF(Inputs!$D$15="Council",0,N(Inputs!$D$23)*G14))</f>
        <v/>
      </c>
      <c r="H79" s="45">
        <f>IF(H6=0,"",IF(Inputs!$D$15="Council",0,N(Inputs!$D$23)*H14))</f>
        <v/>
      </c>
      <c r="I79" s="45">
        <f>IF(I6=0,"",IF(Inputs!$D$15="Council",0,N(Inputs!$D$23)*I14))</f>
        <v/>
      </c>
      <c r="J79" s="45">
        <f>IF(J6=0,"",IF(Inputs!$E$15="Council",0,N(Inputs!$E$23)*J14))</f>
        <v/>
      </c>
      <c r="K79" s="45">
        <f>IF(K6=0,"",IF(Inputs!$E$15="Council",0,N(Inputs!$E$23)*K14))</f>
        <v/>
      </c>
      <c r="L79" s="45">
        <f>IF(L6=0,"",IF(Inputs!$E$15="Council",0,N(Inputs!$E$23)*L14))</f>
        <v/>
      </c>
      <c r="M79" s="45">
        <f>IF(M6=0,"",IF(Inputs!$F$15="Council",0,N(Inputs!$F$23)*M14))</f>
        <v/>
      </c>
      <c r="N79" s="45">
        <f>IF(N6=0,"",IF(Inputs!$F$15="Council",0,N(Inputs!$F$23)*N14))</f>
        <v/>
      </c>
      <c r="O79" s="45">
        <f>IF(O6=0,"",IF(Inputs!$F$15="Council",0,N(Inputs!$F$23)*O14))</f>
        <v/>
      </c>
      <c r="P79" s="45">
        <f>IF(P6=0,"",IF(Inputs!$G$15="Council",0,N(Inputs!$G$23)*P14))</f>
        <v/>
      </c>
      <c r="Q79" s="45">
        <f>IF(Q6=0,"",IF(Inputs!$G$15="Council",0,N(Inputs!$G$23)*Q14))</f>
        <v/>
      </c>
      <c r="R79" s="45">
        <f>IF(R6=0,"",IF(Inputs!$G$15="Council",0,N(Inputs!$G$23)*R14))</f>
        <v/>
      </c>
    </row>
    <row r="80">
      <c r="B80" s="4" t="inlineStr">
        <is>
          <t>Offsetting private gains from these transfers</t>
        </is>
      </c>
      <c r="C80" s="5" t="inlineStr">
        <is>
          <t>£</t>
        </is>
      </c>
      <c r="D80" s="45">
        <f>IF(D6=0,"",D79-(D78-D77))</f>
        <v/>
      </c>
      <c r="E80" s="45">
        <f>IF(E6=0,"",E79-(E78-E77))</f>
        <v/>
      </c>
      <c r="F80" s="45">
        <f>IF(F6=0,"",F79-(F78-F77))</f>
        <v/>
      </c>
      <c r="G80" s="45">
        <f>IF(G6=0,"",G79-(G78-G77))</f>
        <v/>
      </c>
      <c r="H80" s="45">
        <f>IF(H6=0,"",H79-(H78-H77))</f>
        <v/>
      </c>
      <c r="I80" s="45">
        <f>IF(I6=0,"",I79-(I78-I77))</f>
        <v/>
      </c>
      <c r="J80" s="45">
        <f>IF(J6=0,"",J79-(J78-J77))</f>
        <v/>
      </c>
      <c r="K80" s="45">
        <f>IF(K6=0,"",K79-(K78-K77))</f>
        <v/>
      </c>
      <c r="L80" s="45">
        <f>IF(L6=0,"",L79-(L78-L77))</f>
        <v/>
      </c>
      <c r="M80" s="45">
        <f>IF(M6=0,"",M79-(M78-M77))</f>
        <v/>
      </c>
      <c r="N80" s="45">
        <f>IF(N6=0,"",N79-(N78-N77))</f>
        <v/>
      </c>
      <c r="O80" s="45">
        <f>IF(O6=0,"",O79-(O78-O77))</f>
        <v/>
      </c>
      <c r="P80" s="45">
        <f>IF(P6=0,"",P79-(P78-P77))</f>
        <v/>
      </c>
      <c r="Q80" s="45">
        <f>IF(Q6=0,"",Q79-(Q78-Q77))</f>
        <v/>
      </c>
      <c r="R80" s="45">
        <f>IF(R6=0,"",R79-(R78-R77))</f>
        <v/>
      </c>
    </row>
    <row r="81">
      <c r="B81" s="7" t="inlineStr">
        <is>
          <t>Public costs (present value, after optimism bias)</t>
        </is>
      </c>
      <c r="D81" s="8" t="n"/>
      <c r="E81" s="8" t="n"/>
      <c r="F81" s="8" t="n"/>
      <c r="G81" s="8" t="n"/>
      <c r="H81" s="8" t="n"/>
      <c r="I81" s="8" t="n"/>
      <c r="J81" s="8" t="n"/>
      <c r="K81" s="8" t="n"/>
      <c r="L81" s="8" t="n"/>
      <c r="M81" s="8" t="n"/>
      <c r="N81" s="8" t="n"/>
      <c r="O81" s="8" t="n"/>
      <c r="P81" s="8" t="n"/>
      <c r="Q81" s="8" t="n"/>
      <c r="R81" s="8" t="n"/>
    </row>
    <row r="82">
      <c r="B82" s="4" t="inlineStr">
        <is>
          <t>Fit-out optimism bias</t>
        </is>
      </c>
      <c r="C82" s="5" t="inlineStr">
        <is>
          <t>share</t>
        </is>
      </c>
      <c r="D82" s="43">
        <f>IF(D6=0,"",(IF(Assumptions!$K$18&lt;&gt;"",Assumptions!$K$18,Assumptions!$H$18)-(IF(Assumptions!$K$18&lt;&gt;"",Assumptions!$K$18,Assumptions!$H$18)-Assumptions!$F$18)*N(Inputs!$C$29))/100)</f>
        <v/>
      </c>
      <c r="E82" s="43">
        <f>IF(E6=0,"",(IF(Assumptions!$K$18&lt;&gt;"",Assumptions!$K$18,Assumptions!$H$18)-(IF(Assumptions!$K$18&lt;&gt;"",Assumptions!$K$18,Assumptions!$H$18)-Assumptions!$F$18)*N(Inputs!$C$29))/100)</f>
        <v/>
      </c>
      <c r="F82" s="43">
        <f>IF(F6=0,"",(IF(Assumptions!$K$18&lt;&gt;"",Assumptions!$K$18,Assumptions!$H$18)-(IF(Assumptions!$K$18&lt;&gt;"",Assumptions!$K$18,Assumptions!$H$18)-Assumptions!$F$18)*N(Inputs!$C$29))/100)</f>
        <v/>
      </c>
      <c r="G82" s="43">
        <f>IF(G6=0,"",(IF(Assumptions!$K$18&lt;&gt;"",Assumptions!$K$18,Assumptions!$H$18)-(IF(Assumptions!$K$18&lt;&gt;"",Assumptions!$K$18,Assumptions!$H$18)-Assumptions!$F$18)*N(Inputs!$D$29))/100)</f>
        <v/>
      </c>
      <c r="H82" s="43">
        <f>IF(H6=0,"",(IF(Assumptions!$K$18&lt;&gt;"",Assumptions!$K$18,Assumptions!$H$18)-(IF(Assumptions!$K$18&lt;&gt;"",Assumptions!$K$18,Assumptions!$H$18)-Assumptions!$F$18)*N(Inputs!$D$29))/100)</f>
        <v/>
      </c>
      <c r="I82" s="43">
        <f>IF(I6=0,"",(IF(Assumptions!$K$18&lt;&gt;"",Assumptions!$K$18,Assumptions!$H$18)-(IF(Assumptions!$K$18&lt;&gt;"",Assumptions!$K$18,Assumptions!$H$18)-Assumptions!$F$18)*N(Inputs!$D$29))/100)</f>
        <v/>
      </c>
      <c r="J82" s="43">
        <f>IF(J6=0,"",(IF(Assumptions!$K$18&lt;&gt;"",Assumptions!$K$18,Assumptions!$H$18)-(IF(Assumptions!$K$18&lt;&gt;"",Assumptions!$K$18,Assumptions!$H$18)-Assumptions!$F$18)*N(Inputs!$E$29))/100)</f>
        <v/>
      </c>
      <c r="K82" s="43">
        <f>IF(K6=0,"",(IF(Assumptions!$K$18&lt;&gt;"",Assumptions!$K$18,Assumptions!$H$18)-(IF(Assumptions!$K$18&lt;&gt;"",Assumptions!$K$18,Assumptions!$H$18)-Assumptions!$F$18)*N(Inputs!$E$29))/100)</f>
        <v/>
      </c>
      <c r="L82" s="43">
        <f>IF(L6=0,"",(IF(Assumptions!$K$18&lt;&gt;"",Assumptions!$K$18,Assumptions!$H$18)-(IF(Assumptions!$K$18&lt;&gt;"",Assumptions!$K$18,Assumptions!$H$18)-Assumptions!$F$18)*N(Inputs!$E$29))/100)</f>
        <v/>
      </c>
      <c r="M82" s="43">
        <f>IF(M6=0,"",(IF(Assumptions!$K$18&lt;&gt;"",Assumptions!$K$18,Assumptions!$H$18)-(IF(Assumptions!$K$18&lt;&gt;"",Assumptions!$K$18,Assumptions!$H$18)-Assumptions!$F$18)*N(Inputs!$F$29))/100)</f>
        <v/>
      </c>
      <c r="N82" s="43">
        <f>IF(N6=0,"",(IF(Assumptions!$K$18&lt;&gt;"",Assumptions!$K$18,Assumptions!$H$18)-(IF(Assumptions!$K$18&lt;&gt;"",Assumptions!$K$18,Assumptions!$H$18)-Assumptions!$F$18)*N(Inputs!$F$29))/100)</f>
        <v/>
      </c>
      <c r="O82" s="43">
        <f>IF(O6=0,"",(IF(Assumptions!$K$18&lt;&gt;"",Assumptions!$K$18,Assumptions!$H$18)-(IF(Assumptions!$K$18&lt;&gt;"",Assumptions!$K$18,Assumptions!$H$18)-Assumptions!$F$18)*N(Inputs!$F$29))/100)</f>
        <v/>
      </c>
      <c r="P82" s="43">
        <f>IF(P6=0,"",(IF(Assumptions!$K$18&lt;&gt;"",Assumptions!$K$18,Assumptions!$H$18)-(IF(Assumptions!$K$18&lt;&gt;"",Assumptions!$K$18,Assumptions!$H$18)-Assumptions!$F$18)*N(Inputs!$G$29))/100)</f>
        <v/>
      </c>
      <c r="Q82" s="43">
        <f>IF(Q6=0,"",(IF(Assumptions!$K$18&lt;&gt;"",Assumptions!$K$18,Assumptions!$H$18)-(IF(Assumptions!$K$18&lt;&gt;"",Assumptions!$K$18,Assumptions!$H$18)-Assumptions!$F$18)*N(Inputs!$G$29))/100)</f>
        <v/>
      </c>
      <c r="R82" s="43">
        <f>IF(R6=0,"",(IF(Assumptions!$K$18&lt;&gt;"",Assumptions!$K$18,Assumptions!$H$18)-(IF(Assumptions!$K$18&lt;&gt;"",Assumptions!$K$18,Assumptions!$H$18)-Assumptions!$F$18)*N(Inputs!$G$29))/100)</f>
        <v/>
      </c>
    </row>
    <row r="83">
      <c r="B83" s="4" t="inlineStr">
        <is>
          <t>Fit-out</t>
        </is>
      </c>
      <c r="C83" s="5" t="inlineStr">
        <is>
          <t>£</t>
        </is>
      </c>
      <c r="D83" s="45">
        <f>IF(D6=0,"",N(Inputs!$C$28)*(1+D82))</f>
        <v/>
      </c>
      <c r="E83" s="45">
        <f>IF(E6=0,"",N(Inputs!$C$28)*(1+E82))</f>
        <v/>
      </c>
      <c r="F83" s="45">
        <f>IF(F6=0,"",N(Inputs!$C$28)*(1+F82))</f>
        <v/>
      </c>
      <c r="G83" s="45">
        <f>IF(G6=0,"",N(Inputs!$D$28)*(1+G82))</f>
        <v/>
      </c>
      <c r="H83" s="45">
        <f>IF(H6=0,"",N(Inputs!$D$28)*(1+H82))</f>
        <v/>
      </c>
      <c r="I83" s="45">
        <f>IF(I6=0,"",N(Inputs!$D$28)*(1+I82))</f>
        <v/>
      </c>
      <c r="J83" s="45">
        <f>IF(J6=0,"",N(Inputs!$E$28)*(1+J82))</f>
        <v/>
      </c>
      <c r="K83" s="45">
        <f>IF(K6=0,"",N(Inputs!$E$28)*(1+K82))</f>
        <v/>
      </c>
      <c r="L83" s="45">
        <f>IF(L6=0,"",N(Inputs!$E$28)*(1+L82))</f>
        <v/>
      </c>
      <c r="M83" s="45">
        <f>IF(M6=0,"",N(Inputs!$F$28)*(1+M82))</f>
        <v/>
      </c>
      <c r="N83" s="45">
        <f>IF(N6=0,"",N(Inputs!$F$28)*(1+N82))</f>
        <v/>
      </c>
      <c r="O83" s="45">
        <f>IF(O6=0,"",N(Inputs!$F$28)*(1+O82))</f>
        <v/>
      </c>
      <c r="P83" s="45">
        <f>IF(P6=0,"",N(Inputs!$G$28)*(1+P82))</f>
        <v/>
      </c>
      <c r="Q83" s="45">
        <f>IF(Q6=0,"",N(Inputs!$G$28)*(1+Q82))</f>
        <v/>
      </c>
      <c r="R83" s="45">
        <f>IF(R6=0,"",N(Inputs!$G$28)*(1+R82))</f>
        <v/>
      </c>
    </row>
    <row r="84">
      <c r="B84" s="4" t="inlineStr">
        <is>
          <t>Operator contract</t>
        </is>
      </c>
      <c r="C84" s="5" t="inlineStr">
        <is>
          <t>£</t>
        </is>
      </c>
      <c r="D84" s="45">
        <f>IF(D6=0,"",N(Inputs!$C$30)*D14*(1+Assumptions!$O$19/100))</f>
        <v/>
      </c>
      <c r="E84" s="45">
        <f>IF(E6=0,"",N(Inputs!$C$30)*E14*(1+Assumptions!$O$19/100))</f>
        <v/>
      </c>
      <c r="F84" s="45">
        <f>IF(F6=0,"",N(Inputs!$C$30)*F14*(1+Assumptions!$O$19/100))</f>
        <v/>
      </c>
      <c r="G84" s="45">
        <f>IF(G6=0,"",N(Inputs!$D$30)*G14*(1+Assumptions!$O$19/100))</f>
        <v/>
      </c>
      <c r="H84" s="45">
        <f>IF(H6=0,"",N(Inputs!$D$30)*H14*(1+Assumptions!$O$19/100))</f>
        <v/>
      </c>
      <c r="I84" s="45">
        <f>IF(I6=0,"",N(Inputs!$D$30)*I14*(1+Assumptions!$O$19/100))</f>
        <v/>
      </c>
      <c r="J84" s="45">
        <f>IF(J6=0,"",N(Inputs!$E$30)*J14*(1+Assumptions!$O$19/100))</f>
        <v/>
      </c>
      <c r="K84" s="45">
        <f>IF(K6=0,"",N(Inputs!$E$30)*K14*(1+Assumptions!$O$19/100))</f>
        <v/>
      </c>
      <c r="L84" s="45">
        <f>IF(L6=0,"",N(Inputs!$E$30)*L14*(1+Assumptions!$O$19/100))</f>
        <v/>
      </c>
      <c r="M84" s="45">
        <f>IF(M6=0,"",N(Inputs!$F$30)*M14*(1+Assumptions!$O$19/100))</f>
        <v/>
      </c>
      <c r="N84" s="45">
        <f>IF(N6=0,"",N(Inputs!$F$30)*N14*(1+Assumptions!$O$19/100))</f>
        <v/>
      </c>
      <c r="O84" s="45">
        <f>IF(O6=0,"",N(Inputs!$F$30)*O14*(1+Assumptions!$O$19/100))</f>
        <v/>
      </c>
      <c r="P84" s="45">
        <f>IF(P6=0,"",N(Inputs!$G$30)*P14*(1+Assumptions!$O$19/100))</f>
        <v/>
      </c>
      <c r="Q84" s="45">
        <f>IF(Q6=0,"",N(Inputs!$G$30)*Q14*(1+Assumptions!$O$19/100))</f>
        <v/>
      </c>
      <c r="R84" s="45">
        <f>IF(R6=0,"",N(Inputs!$G$30)*R14*(1+Assumptions!$O$19/100))</f>
        <v/>
      </c>
    </row>
    <row r="85">
      <c r="B85" s="4" t="inlineStr">
        <is>
          <t>Cost evidence grade</t>
        </is>
      </c>
      <c r="C85" s="5" t="inlineStr"/>
      <c r="D85" s="40">
        <f>IF(D6=0,"",IFERROR(VALUE(LEFT(Inputs!$C$33,1)),4))</f>
        <v/>
      </c>
      <c r="E85" s="40">
        <f>IF(E6=0,"",IFERROR(VALUE(LEFT(Inputs!$C$33,1)),4))</f>
        <v/>
      </c>
      <c r="F85" s="40">
        <f>IF(F6=0,"",IFERROR(VALUE(LEFT(Inputs!$C$33,1)),4))</f>
        <v/>
      </c>
      <c r="G85" s="40">
        <f>IF(G6=0,"",IFERROR(VALUE(LEFT(Inputs!$D$33,1)),4))</f>
        <v/>
      </c>
      <c r="H85" s="40">
        <f>IF(H6=0,"",IFERROR(VALUE(LEFT(Inputs!$D$33,1)),4))</f>
        <v/>
      </c>
      <c r="I85" s="40">
        <f>IF(I6=0,"",IFERROR(VALUE(LEFT(Inputs!$D$33,1)),4))</f>
        <v/>
      </c>
      <c r="J85" s="40">
        <f>IF(J6=0,"",IFERROR(VALUE(LEFT(Inputs!$E$33,1)),4))</f>
        <v/>
      </c>
      <c r="K85" s="40">
        <f>IF(K6=0,"",IFERROR(VALUE(LEFT(Inputs!$E$33,1)),4))</f>
        <v/>
      </c>
      <c r="L85" s="40">
        <f>IF(L6=0,"",IFERROR(VALUE(LEFT(Inputs!$E$33,1)),4))</f>
        <v/>
      </c>
      <c r="M85" s="40">
        <f>IF(M6=0,"",IFERROR(VALUE(LEFT(Inputs!$F$33,1)),4))</f>
        <v/>
      </c>
      <c r="N85" s="40">
        <f>IF(N6=0,"",IFERROR(VALUE(LEFT(Inputs!$F$33,1)),4))</f>
        <v/>
      </c>
      <c r="O85" s="40">
        <f>IF(O6=0,"",IFERROR(VALUE(LEFT(Inputs!$F$33,1)),4))</f>
        <v/>
      </c>
      <c r="P85" s="40">
        <f>IF(P6=0,"",IFERROR(VALUE(LEFT(Inputs!$G$33,1)),4))</f>
        <v/>
      </c>
      <c r="Q85" s="40">
        <f>IF(Q6=0,"",IFERROR(VALUE(LEFT(Inputs!$G$33,1)),4))</f>
        <v/>
      </c>
      <c r="R85" s="40">
        <f>IF(R6=0,"",IFERROR(VALUE(LEFT(Inputs!$G$33,1)),4))</f>
        <v/>
      </c>
    </row>
    <row r="86">
      <c r="B86" s="4" t="inlineStr">
        <is>
          <t>Running costs</t>
        </is>
      </c>
      <c r="C86" s="5" t="inlineStr">
        <is>
          <t>£</t>
        </is>
      </c>
      <c r="D86" s="45">
        <f>IF(D6=0,"",N(Inputs!$C$31)*D14*(1+CHOOSE(D85,0,0.05,0.1,0.15,0.25,0.4)))</f>
        <v/>
      </c>
      <c r="E86" s="45">
        <f>IF(E6=0,"",N(Inputs!$C$31)*E14*(1+CHOOSE(E85,0,0.05,0.1,0.15,0.25,0.4)))</f>
        <v/>
      </c>
      <c r="F86" s="45">
        <f>IF(F6=0,"",N(Inputs!$C$31)*F14*(1+CHOOSE(F85,0,0.05,0.1,0.15,0.25,0.4)))</f>
        <v/>
      </c>
      <c r="G86" s="45">
        <f>IF(G6=0,"",N(Inputs!$D$31)*G14*(1+CHOOSE(G85,0,0.05,0.1,0.15,0.25,0.4)))</f>
        <v/>
      </c>
      <c r="H86" s="45">
        <f>IF(H6=0,"",N(Inputs!$D$31)*H14*(1+CHOOSE(H85,0,0.05,0.1,0.15,0.25,0.4)))</f>
        <v/>
      </c>
      <c r="I86" s="45">
        <f>IF(I6=0,"",N(Inputs!$D$31)*I14*(1+CHOOSE(I85,0,0.05,0.1,0.15,0.25,0.4)))</f>
        <v/>
      </c>
      <c r="J86" s="45">
        <f>IF(J6=0,"",N(Inputs!$E$31)*J14*(1+CHOOSE(J85,0,0.05,0.1,0.15,0.25,0.4)))</f>
        <v/>
      </c>
      <c r="K86" s="45">
        <f>IF(K6=0,"",N(Inputs!$E$31)*K14*(1+CHOOSE(K85,0,0.05,0.1,0.15,0.25,0.4)))</f>
        <v/>
      </c>
      <c r="L86" s="45">
        <f>IF(L6=0,"",N(Inputs!$E$31)*L14*(1+CHOOSE(L85,0,0.05,0.1,0.15,0.25,0.4)))</f>
        <v/>
      </c>
      <c r="M86" s="45">
        <f>IF(M6=0,"",N(Inputs!$F$31)*M14*(1+CHOOSE(M85,0,0.05,0.1,0.15,0.25,0.4)))</f>
        <v/>
      </c>
      <c r="N86" s="45">
        <f>IF(N6=0,"",N(Inputs!$F$31)*N14*(1+CHOOSE(N85,0,0.05,0.1,0.15,0.25,0.4)))</f>
        <v/>
      </c>
      <c r="O86" s="45">
        <f>IF(O6=0,"",N(Inputs!$F$31)*O14*(1+CHOOSE(O85,0,0.05,0.1,0.15,0.25,0.4)))</f>
        <v/>
      </c>
      <c r="P86" s="45">
        <f>IF(P6=0,"",N(Inputs!$G$31)*P14*(1+CHOOSE(P85,0,0.05,0.1,0.15,0.25,0.4)))</f>
        <v/>
      </c>
      <c r="Q86" s="45">
        <f>IF(Q6=0,"",N(Inputs!$G$31)*Q14*(1+CHOOSE(Q85,0,0.05,0.1,0.15,0.25,0.4)))</f>
        <v/>
      </c>
      <c r="R86" s="45">
        <f>IF(R6=0,"",N(Inputs!$G$31)*R14*(1+CHOOSE(R85,0,0.05,0.1,0.15,0.25,0.4)))</f>
        <v/>
      </c>
    </row>
    <row r="87">
      <c r="B87" s="4" t="inlineStr">
        <is>
          <t>Monitoring and evaluation</t>
        </is>
      </c>
      <c r="C87" s="5" t="inlineStr">
        <is>
          <t>£</t>
        </is>
      </c>
      <c r="D87" s="45">
        <f>IF(D6=0,"",N(Inputs!$C$32)*D14*(1+CHOOSE(D85,0,0.05,0.1,0.15,0.25,0.4)))</f>
        <v/>
      </c>
      <c r="E87" s="45">
        <f>IF(E6=0,"",N(Inputs!$C$32)*E14*(1+CHOOSE(E85,0,0.05,0.1,0.15,0.25,0.4)))</f>
        <v/>
      </c>
      <c r="F87" s="45">
        <f>IF(F6=0,"",N(Inputs!$C$32)*F14*(1+CHOOSE(F85,0,0.05,0.1,0.15,0.25,0.4)))</f>
        <v/>
      </c>
      <c r="G87" s="45">
        <f>IF(G6=0,"",N(Inputs!$D$32)*G14*(1+CHOOSE(G85,0,0.05,0.1,0.15,0.25,0.4)))</f>
        <v/>
      </c>
      <c r="H87" s="45">
        <f>IF(H6=0,"",N(Inputs!$D$32)*H14*(1+CHOOSE(H85,0,0.05,0.1,0.15,0.25,0.4)))</f>
        <v/>
      </c>
      <c r="I87" s="45">
        <f>IF(I6=0,"",N(Inputs!$D$32)*I14*(1+CHOOSE(I85,0,0.05,0.1,0.15,0.25,0.4)))</f>
        <v/>
      </c>
      <c r="J87" s="45">
        <f>IF(J6=0,"",N(Inputs!$E$32)*J14*(1+CHOOSE(J85,0,0.05,0.1,0.15,0.25,0.4)))</f>
        <v/>
      </c>
      <c r="K87" s="45">
        <f>IF(K6=0,"",N(Inputs!$E$32)*K14*(1+CHOOSE(K85,0,0.05,0.1,0.15,0.25,0.4)))</f>
        <v/>
      </c>
      <c r="L87" s="45">
        <f>IF(L6=0,"",N(Inputs!$E$32)*L14*(1+CHOOSE(L85,0,0.05,0.1,0.15,0.25,0.4)))</f>
        <v/>
      </c>
      <c r="M87" s="45">
        <f>IF(M6=0,"",N(Inputs!$F$32)*M14*(1+CHOOSE(M85,0,0.05,0.1,0.15,0.25,0.4)))</f>
        <v/>
      </c>
      <c r="N87" s="45">
        <f>IF(N6=0,"",N(Inputs!$F$32)*N14*(1+CHOOSE(N85,0,0.05,0.1,0.15,0.25,0.4)))</f>
        <v/>
      </c>
      <c r="O87" s="45">
        <f>IF(O6=0,"",N(Inputs!$F$32)*O14*(1+CHOOSE(O85,0,0.05,0.1,0.15,0.25,0.4)))</f>
        <v/>
      </c>
      <c r="P87" s="45">
        <f>IF(P6=0,"",N(Inputs!$G$32)*P14*(1+CHOOSE(P85,0,0.05,0.1,0.15,0.25,0.4)))</f>
        <v/>
      </c>
      <c r="Q87" s="45">
        <f>IF(Q6=0,"",N(Inputs!$G$32)*Q14*(1+CHOOSE(Q85,0,0.05,0.1,0.15,0.25,0.4)))</f>
        <v/>
      </c>
      <c r="R87" s="45">
        <f>IF(R6=0,"",N(Inputs!$G$32)*R14*(1+CHOOSE(R85,0,0.05,0.1,0.15,0.25,0.4)))</f>
        <v/>
      </c>
    </row>
    <row r="88">
      <c r="B88" s="4" t="inlineStr">
        <is>
          <t>Rent to the landlord</t>
        </is>
      </c>
      <c r="C88" s="5" t="inlineStr">
        <is>
          <t>£</t>
        </is>
      </c>
      <c r="D88" s="45">
        <f>IF(D6=0,"",D79)</f>
        <v/>
      </c>
      <c r="E88" s="45">
        <f>IF(E6=0,"",E79)</f>
        <v/>
      </c>
      <c r="F88" s="45">
        <f>IF(F6=0,"",F79)</f>
        <v/>
      </c>
      <c r="G88" s="45">
        <f>IF(G6=0,"",G79)</f>
        <v/>
      </c>
      <c r="H88" s="45">
        <f>IF(H6=0,"",H79)</f>
        <v/>
      </c>
      <c r="I88" s="45">
        <f>IF(I6=0,"",I79)</f>
        <v/>
      </c>
      <c r="J88" s="45">
        <f>IF(J6=0,"",J79)</f>
        <v/>
      </c>
      <c r="K88" s="45">
        <f>IF(K6=0,"",K79)</f>
        <v/>
      </c>
      <c r="L88" s="45">
        <f>IF(L6=0,"",L79)</f>
        <v/>
      </c>
      <c r="M88" s="45">
        <f>IF(M6=0,"",M79)</f>
        <v/>
      </c>
      <c r="N88" s="45">
        <f>IF(N6=0,"",N79)</f>
        <v/>
      </c>
      <c r="O88" s="45">
        <f>IF(O6=0,"",O79)</f>
        <v/>
      </c>
      <c r="P88" s="45">
        <f>IF(P6=0,"",P79)</f>
        <v/>
      </c>
      <c r="Q88" s="45">
        <f>IF(Q6=0,"",Q79)</f>
        <v/>
      </c>
      <c r="R88" s="45">
        <f>IF(R6=0,"",R79)</f>
        <v/>
      </c>
    </row>
    <row r="89">
      <c r="B89" s="4" t="inlineStr">
        <is>
          <t>Rates income forgone (or gained, negative)</t>
        </is>
      </c>
      <c r="C89" s="5" t="inlineStr">
        <is>
          <t>£</t>
        </is>
      </c>
      <c r="D89" s="45">
        <f>IF(D6=0,"",-D78)</f>
        <v/>
      </c>
      <c r="E89" s="45">
        <f>IF(E6=0,"",-E78)</f>
        <v/>
      </c>
      <c r="F89" s="45">
        <f>IF(F6=0,"",-F78)</f>
        <v/>
      </c>
      <c r="G89" s="45">
        <f>IF(G6=0,"",-G78)</f>
        <v/>
      </c>
      <c r="H89" s="45">
        <f>IF(H6=0,"",-H78)</f>
        <v/>
      </c>
      <c r="I89" s="45">
        <f>IF(I6=0,"",-I78)</f>
        <v/>
      </c>
      <c r="J89" s="45">
        <f>IF(J6=0,"",-J78)</f>
        <v/>
      </c>
      <c r="K89" s="45">
        <f>IF(K6=0,"",-K78)</f>
        <v/>
      </c>
      <c r="L89" s="45">
        <f>IF(L6=0,"",-L78)</f>
        <v/>
      </c>
      <c r="M89" s="45">
        <f>IF(M6=0,"",-M78)</f>
        <v/>
      </c>
      <c r="N89" s="45">
        <f>IF(N6=0,"",-N78)</f>
        <v/>
      </c>
      <c r="O89" s="45">
        <f>IF(O6=0,"",-O78)</f>
        <v/>
      </c>
      <c r="P89" s="45">
        <f>IF(P6=0,"",-P78)</f>
        <v/>
      </c>
      <c r="Q89" s="45">
        <f>IF(Q6=0,"",-Q78)</f>
        <v/>
      </c>
      <c r="R89" s="45">
        <f>IF(R6=0,"",-R78)</f>
        <v/>
      </c>
    </row>
    <row r="90">
      <c r="B90" s="4" t="inlineStr">
        <is>
          <t>Avoided costs of a council-owned empty unit</t>
        </is>
      </c>
      <c r="C90" s="5" t="inlineStr">
        <is>
          <t>£</t>
        </is>
      </c>
      <c r="D90" s="45">
        <f>IF(D6=0,"",-IF(Inputs!$C$15="Council",D64*D14,0))</f>
        <v/>
      </c>
      <c r="E90" s="45">
        <f>IF(E6=0,"",-IF(Inputs!$C$15="Council",E64*E14,0))</f>
        <v/>
      </c>
      <c r="F90" s="45">
        <f>IF(F6=0,"",-IF(Inputs!$C$15="Council",F64*F14,0))</f>
        <v/>
      </c>
      <c r="G90" s="45">
        <f>IF(G6=0,"",-IF(Inputs!$D$15="Council",G64*G14,0))</f>
        <v/>
      </c>
      <c r="H90" s="45">
        <f>IF(H6=0,"",-IF(Inputs!$D$15="Council",H64*H14,0))</f>
        <v/>
      </c>
      <c r="I90" s="45">
        <f>IF(I6=0,"",-IF(Inputs!$D$15="Council",I64*I14,0))</f>
        <v/>
      </c>
      <c r="J90" s="45">
        <f>IF(J6=0,"",-IF(Inputs!$E$15="Council",J64*J14,0))</f>
        <v/>
      </c>
      <c r="K90" s="45">
        <f>IF(K6=0,"",-IF(Inputs!$E$15="Council",K64*K14,0))</f>
        <v/>
      </c>
      <c r="L90" s="45">
        <f>IF(L6=0,"",-IF(Inputs!$E$15="Council",L64*L14,0))</f>
        <v/>
      </c>
      <c r="M90" s="45">
        <f>IF(M6=0,"",-IF(Inputs!$F$15="Council",M64*M14,0))</f>
        <v/>
      </c>
      <c r="N90" s="45">
        <f>IF(N6=0,"",-IF(Inputs!$F$15="Council",N64*N14,0))</f>
        <v/>
      </c>
      <c r="O90" s="45">
        <f>IF(O6=0,"",-IF(Inputs!$F$15="Council",O64*O14,0))</f>
        <v/>
      </c>
      <c r="P90" s="45">
        <f>IF(P6=0,"",-IF(Inputs!$G$15="Council",P64*P14,0))</f>
        <v/>
      </c>
      <c r="Q90" s="45">
        <f>IF(Q6=0,"",-IF(Inputs!$G$15="Council",Q64*Q14,0))</f>
        <v/>
      </c>
      <c r="R90" s="45">
        <f>IF(R6=0,"",-IF(Inputs!$G$15="Council",R64*R14,0))</f>
        <v/>
      </c>
    </row>
    <row r="91">
      <c r="B91" s="4" t="inlineStr">
        <is>
          <t>Net public cost</t>
        </is>
      </c>
      <c r="C91" s="5" t="inlineStr">
        <is>
          <t>£</t>
        </is>
      </c>
      <c r="D91" s="45">
        <f>IF(D6=0,"",SUM(D83,D84,D86,D87,D88,D89,D90))</f>
        <v/>
      </c>
      <c r="E91" s="45">
        <f>IF(E6=0,"",SUM(E83,E84,E86,E87,E88,E89,E90))</f>
        <v/>
      </c>
      <c r="F91" s="45">
        <f>IF(F6=0,"",SUM(F83,F84,F86,F87,F88,F89,F90))</f>
        <v/>
      </c>
      <c r="G91" s="45">
        <f>IF(G6=0,"",SUM(G83,G84,G86,G87,G88,G89,G90))</f>
        <v/>
      </c>
      <c r="H91" s="45">
        <f>IF(H6=0,"",SUM(H83,H84,H86,H87,H88,H89,H90))</f>
        <v/>
      </c>
      <c r="I91" s="45">
        <f>IF(I6=0,"",SUM(I83,I84,I86,I87,I88,I89,I90))</f>
        <v/>
      </c>
      <c r="J91" s="45">
        <f>IF(J6=0,"",SUM(J83,J84,J86,J87,J88,J89,J90))</f>
        <v/>
      </c>
      <c r="K91" s="45">
        <f>IF(K6=0,"",SUM(K83,K84,K86,K87,K88,K89,K90))</f>
        <v/>
      </c>
      <c r="L91" s="45">
        <f>IF(L6=0,"",SUM(L83,L84,L86,L87,L88,L89,L90))</f>
        <v/>
      </c>
      <c r="M91" s="45">
        <f>IF(M6=0,"",SUM(M83,M84,M86,M87,M88,M89,M90))</f>
        <v/>
      </c>
      <c r="N91" s="45">
        <f>IF(N6=0,"",SUM(N83,N84,N86,N87,N88,N89,N90))</f>
        <v/>
      </c>
      <c r="O91" s="45">
        <f>IF(O6=0,"",SUM(O83,O84,O86,O87,O88,O89,O90))</f>
        <v/>
      </c>
      <c r="P91" s="45">
        <f>IF(P6=0,"",SUM(P83,P84,P86,P87,P88,P89,P90))</f>
        <v/>
      </c>
      <c r="Q91" s="45">
        <f>IF(Q6=0,"",SUM(Q83,Q84,Q86,Q87,Q88,Q89,Q90))</f>
        <v/>
      </c>
      <c r="R91" s="45">
        <f>IF(R6=0,"",SUM(R83,R84,R86,R87,R88,R89,R90))</f>
        <v/>
      </c>
    </row>
    <row r="92">
      <c r="B92" s="4" t="inlineStr">
        <is>
          <t>Cash budget (nominal, before optimism bias)</t>
        </is>
      </c>
      <c r="C92" s="5" t="inlineStr">
        <is>
          <t>£</t>
        </is>
      </c>
      <c r="D92" s="45">
        <f>IF(D6=0,"",N(Inputs!$C$28)+(N(Inputs!$C$30)+N(Inputs!$C$31)+N(Inputs!$C$32))*D8)</f>
        <v/>
      </c>
      <c r="E92" s="45">
        <f>IF(E6=0,"",N(Inputs!$C$28)+(N(Inputs!$C$30)+N(Inputs!$C$31)+N(Inputs!$C$32))*E8)</f>
        <v/>
      </c>
      <c r="F92" s="45">
        <f>IF(F6=0,"",N(Inputs!$C$28)+(N(Inputs!$C$30)+N(Inputs!$C$31)+N(Inputs!$C$32))*F8)</f>
        <v/>
      </c>
      <c r="G92" s="45">
        <f>IF(G6=0,"",N(Inputs!$D$28)+(N(Inputs!$D$30)+N(Inputs!$D$31)+N(Inputs!$D$32))*G8)</f>
        <v/>
      </c>
      <c r="H92" s="45">
        <f>IF(H6=0,"",N(Inputs!$D$28)+(N(Inputs!$D$30)+N(Inputs!$D$31)+N(Inputs!$D$32))*H8)</f>
        <v/>
      </c>
      <c r="I92" s="45">
        <f>IF(I6=0,"",N(Inputs!$D$28)+(N(Inputs!$D$30)+N(Inputs!$D$31)+N(Inputs!$D$32))*I8)</f>
        <v/>
      </c>
      <c r="J92" s="45">
        <f>IF(J6=0,"",N(Inputs!$E$28)+(N(Inputs!$E$30)+N(Inputs!$E$31)+N(Inputs!$E$32))*J8)</f>
        <v/>
      </c>
      <c r="K92" s="45">
        <f>IF(K6=0,"",N(Inputs!$E$28)+(N(Inputs!$E$30)+N(Inputs!$E$31)+N(Inputs!$E$32))*K8)</f>
        <v/>
      </c>
      <c r="L92" s="45">
        <f>IF(L6=0,"",N(Inputs!$E$28)+(N(Inputs!$E$30)+N(Inputs!$E$31)+N(Inputs!$E$32))*L8)</f>
        <v/>
      </c>
      <c r="M92" s="45">
        <f>IF(M6=0,"",N(Inputs!$F$28)+(N(Inputs!$F$30)+N(Inputs!$F$31)+N(Inputs!$F$32))*M8)</f>
        <v/>
      </c>
      <c r="N92" s="45">
        <f>IF(N6=0,"",N(Inputs!$F$28)+(N(Inputs!$F$30)+N(Inputs!$F$31)+N(Inputs!$F$32))*N8)</f>
        <v/>
      </c>
      <c r="O92" s="45">
        <f>IF(O6=0,"",N(Inputs!$F$28)+(N(Inputs!$F$30)+N(Inputs!$F$31)+N(Inputs!$F$32))*O8)</f>
        <v/>
      </c>
      <c r="P92" s="45">
        <f>IF(P6=0,"",N(Inputs!$G$28)+(N(Inputs!$G$30)+N(Inputs!$G$31)+N(Inputs!$G$32))*P8)</f>
        <v/>
      </c>
      <c r="Q92" s="45">
        <f>IF(Q6=0,"",N(Inputs!$G$28)+(N(Inputs!$G$30)+N(Inputs!$G$31)+N(Inputs!$G$32))*Q8)</f>
        <v/>
      </c>
      <c r="R92" s="45">
        <f>IF(R6=0,"",N(Inputs!$G$28)+(N(Inputs!$G$30)+N(Inputs!$G$31)+N(Inputs!$G$32))*R8)</f>
        <v/>
      </c>
    </row>
    <row r="93">
      <c r="B93" s="4" t="inlineStr">
        <is>
          <t>Council share of cash and contract costs, present value (excludes rates)</t>
        </is>
      </c>
      <c r="C93" s="5" t="inlineStr">
        <is>
          <t>£</t>
        </is>
      </c>
      <c r="D93" s="45">
        <f>IF(D6=0,"",IF(Inputs!$C$34="",1,Inputs!$C$34)*D83+IF(Inputs!$C$35="",1,Inputs!$C$35)*(D84+D86+D87)+D88)</f>
        <v/>
      </c>
      <c r="E93" s="45">
        <f>IF(E6=0,"",IF(Inputs!$C$34="",1,Inputs!$C$34)*E83+IF(Inputs!$C$35="",1,Inputs!$C$35)*(E84+E86+E87)+E88)</f>
        <v/>
      </c>
      <c r="F93" s="45">
        <f>IF(F6=0,"",IF(Inputs!$C$34="",1,Inputs!$C$34)*F83+IF(Inputs!$C$35="",1,Inputs!$C$35)*(F84+F86+F87)+F88)</f>
        <v/>
      </c>
      <c r="G93" s="45">
        <f>IF(G6=0,"",IF(Inputs!$D$34="",1,Inputs!$D$34)*G83+IF(Inputs!$D$35="",1,Inputs!$D$35)*(G84+G86+G87)+G88)</f>
        <v/>
      </c>
      <c r="H93" s="45">
        <f>IF(H6=0,"",IF(Inputs!$D$34="",1,Inputs!$D$34)*H83+IF(Inputs!$D$35="",1,Inputs!$D$35)*(H84+H86+H87)+H88)</f>
        <v/>
      </c>
      <c r="I93" s="45">
        <f>IF(I6=0,"",IF(Inputs!$D$34="",1,Inputs!$D$34)*I83+IF(Inputs!$D$35="",1,Inputs!$D$35)*(I84+I86+I87)+I88)</f>
        <v/>
      </c>
      <c r="J93" s="45">
        <f>IF(J6=0,"",IF(Inputs!$E$34="",1,Inputs!$E$34)*J83+IF(Inputs!$E$35="",1,Inputs!$E$35)*(J84+J86+J87)+J88)</f>
        <v/>
      </c>
      <c r="K93" s="45">
        <f>IF(K6=0,"",IF(Inputs!$E$34="",1,Inputs!$E$34)*K83+IF(Inputs!$E$35="",1,Inputs!$E$35)*(K84+K86+K87)+K88)</f>
        <v/>
      </c>
      <c r="L93" s="45">
        <f>IF(L6=0,"",IF(Inputs!$E$34="",1,Inputs!$E$34)*L83+IF(Inputs!$E$35="",1,Inputs!$E$35)*(L84+L86+L87)+L88)</f>
        <v/>
      </c>
      <c r="M93" s="45">
        <f>IF(M6=0,"",IF(Inputs!$F$34="",1,Inputs!$F$34)*M83+IF(Inputs!$F$35="",1,Inputs!$F$35)*(M84+M86+M87)+M88)</f>
        <v/>
      </c>
      <c r="N93" s="45">
        <f>IF(N6=0,"",IF(Inputs!$F$34="",1,Inputs!$F$34)*N83+IF(Inputs!$F$35="",1,Inputs!$F$35)*(N84+N86+N87)+N88)</f>
        <v/>
      </c>
      <c r="O93" s="45">
        <f>IF(O6=0,"",IF(Inputs!$F$34="",1,Inputs!$F$34)*O83+IF(Inputs!$F$35="",1,Inputs!$F$35)*(O84+O86+O87)+O88)</f>
        <v/>
      </c>
      <c r="P93" s="45">
        <f>IF(P6=0,"",IF(Inputs!$G$34="",1,Inputs!$G$34)*P83+IF(Inputs!$G$35="",1,Inputs!$G$35)*(P84+P86+P87)+P88)</f>
        <v/>
      </c>
      <c r="Q93" s="45">
        <f>IF(Q6=0,"",IF(Inputs!$G$34="",1,Inputs!$G$34)*Q83+IF(Inputs!$G$35="",1,Inputs!$G$35)*(Q84+Q86+Q87)+Q88)</f>
        <v/>
      </c>
      <c r="R93" s="45">
        <f>IF(R6=0,"",IF(Inputs!$G$34="",1,Inputs!$G$34)*R83+IF(Inputs!$G$35="",1,Inputs!$G$35)*(R84+R86+R87)+R88)</f>
        <v/>
      </c>
    </row>
    <row r="94">
      <c r="B94" s="7" t="inlineStr">
        <is>
          <t>Range rule (MHCLG 5.92): 1 = stream in the ratio</t>
        </is>
      </c>
      <c r="D94" s="8" t="n"/>
      <c r="E94" s="8" t="n"/>
      <c r="F94" s="8" t="n"/>
      <c r="G94" s="8" t="n"/>
      <c r="H94" s="8" t="n"/>
      <c r="I94" s="8" t="n"/>
      <c r="J94" s="8" t="n"/>
      <c r="K94" s="8" t="n"/>
      <c r="L94" s="8" t="n"/>
      <c r="M94" s="8" t="n"/>
      <c r="N94" s="8" t="n"/>
      <c r="O94" s="8" t="n"/>
      <c r="P94" s="8" t="n"/>
      <c r="Q94" s="8" t="n"/>
      <c r="R94" s="8" t="n"/>
    </row>
    <row r="95">
      <c r="B95" s="4" t="inlineStr">
        <is>
          <t>Include space</t>
        </is>
      </c>
      <c r="C95" s="5" t="inlineStr"/>
      <c r="D95" s="40">
        <f>IF(D6=0,"",IF(AND(E53&gt;0,(F53-D53)&gt;4*E53),0,1))</f>
        <v/>
      </c>
      <c r="E95" s="40">
        <f>IF(E6=0,"",IF(AND(E53&gt;0,(F53-D53)&gt;4*E53),0,1))</f>
        <v/>
      </c>
      <c r="F95" s="40">
        <f>IF(F6=0,"",IF(AND(E53&gt;0,(F53-D53)&gt;4*E53),0,1))</f>
        <v/>
      </c>
      <c r="G95" s="40">
        <f>IF(G6=0,"",IF(AND(H53&gt;0,(I53-G53)&gt;4*H53),0,1))</f>
        <v/>
      </c>
      <c r="H95" s="40">
        <f>IF(H6=0,"",IF(AND(H53&gt;0,(I53-G53)&gt;4*H53),0,1))</f>
        <v/>
      </c>
      <c r="I95" s="40">
        <f>IF(I6=0,"",IF(AND(H53&gt;0,(I53-G53)&gt;4*H53),0,1))</f>
        <v/>
      </c>
      <c r="J95" s="40">
        <f>IF(J6=0,"",IF(AND(K53&gt;0,(L53-J53)&gt;4*K53),0,1))</f>
        <v/>
      </c>
      <c r="K95" s="40">
        <f>IF(K6=0,"",IF(AND(K53&gt;0,(L53-J53)&gt;4*K53),0,1))</f>
        <v/>
      </c>
      <c r="L95" s="40">
        <f>IF(L6=0,"",IF(AND(K53&gt;0,(L53-J53)&gt;4*K53),0,1))</f>
        <v/>
      </c>
      <c r="M95" s="40">
        <f>IF(M6=0,"",IF(AND(N53&gt;0,(O53-M53)&gt;4*N53),0,1))</f>
        <v/>
      </c>
      <c r="N95" s="40">
        <f>IF(N6=0,"",IF(AND(N53&gt;0,(O53-M53)&gt;4*N53),0,1))</f>
        <v/>
      </c>
      <c r="O95" s="40">
        <f>IF(O6=0,"",IF(AND(N53&gt;0,(O53-M53)&gt;4*N53),0,1))</f>
        <v/>
      </c>
      <c r="P95" s="40">
        <f>IF(P6=0,"",IF(AND(Q53&gt;0,(R53-P53)&gt;4*Q53),0,1))</f>
        <v/>
      </c>
      <c r="Q95" s="40">
        <f>IF(Q6=0,"",IF(AND(Q53&gt;0,(R53-P53)&gt;4*Q53),0,1))</f>
        <v/>
      </c>
      <c r="R95" s="40">
        <f>IF(R6=0,"",IF(AND(Q53&gt;0,(R53-P53)&gt;4*Q53),0,1))</f>
        <v/>
      </c>
    </row>
    <row r="96">
      <c r="B96" s="4" t="inlineStr">
        <is>
          <t>Include vol</t>
        </is>
      </c>
      <c r="C96" s="5" t="inlineStr"/>
      <c r="D96" s="40">
        <f>IF(D6=0,"",IF(AND(E56&gt;0,(F56-D56)&gt;4*E56),0,1))</f>
        <v/>
      </c>
      <c r="E96" s="40">
        <f>IF(E6=0,"",IF(AND(E56&gt;0,(F56-D56)&gt;4*E56),0,1))</f>
        <v/>
      </c>
      <c r="F96" s="40">
        <f>IF(F6=0,"",IF(AND(E56&gt;0,(F56-D56)&gt;4*E56),0,1))</f>
        <v/>
      </c>
      <c r="G96" s="40">
        <f>IF(G6=0,"",IF(AND(H56&gt;0,(I56-G56)&gt;4*H56),0,1))</f>
        <v/>
      </c>
      <c r="H96" s="40">
        <f>IF(H6=0,"",IF(AND(H56&gt;0,(I56-G56)&gt;4*H56),0,1))</f>
        <v/>
      </c>
      <c r="I96" s="40">
        <f>IF(I6=0,"",IF(AND(H56&gt;0,(I56-G56)&gt;4*H56),0,1))</f>
        <v/>
      </c>
      <c r="J96" s="40">
        <f>IF(J6=0,"",IF(AND(K56&gt;0,(L56-J56)&gt;4*K56),0,1))</f>
        <v/>
      </c>
      <c r="K96" s="40">
        <f>IF(K6=0,"",IF(AND(K56&gt;0,(L56-J56)&gt;4*K56),0,1))</f>
        <v/>
      </c>
      <c r="L96" s="40">
        <f>IF(L6=0,"",IF(AND(K56&gt;0,(L56-J56)&gt;4*K56),0,1))</f>
        <v/>
      </c>
      <c r="M96" s="40">
        <f>IF(M6=0,"",IF(AND(N56&gt;0,(O56-M56)&gt;4*N56),0,1))</f>
        <v/>
      </c>
      <c r="N96" s="40">
        <f>IF(N6=0,"",IF(AND(N56&gt;0,(O56-M56)&gt;4*N56),0,1))</f>
        <v/>
      </c>
      <c r="O96" s="40">
        <f>IF(O6=0,"",IF(AND(N56&gt;0,(O56-M56)&gt;4*N56),0,1))</f>
        <v/>
      </c>
      <c r="P96" s="40">
        <f>IF(P6=0,"",IF(AND(Q56&gt;0,(R56-P56)&gt;4*Q56),0,1))</f>
        <v/>
      </c>
      <c r="Q96" s="40">
        <f>IF(Q6=0,"",IF(AND(Q56&gt;0,(R56-P56)&gt;4*Q56),0,1))</f>
        <v/>
      </c>
      <c r="R96" s="40">
        <f>IF(R6=0,"",IF(AND(Q56&gt;0,(R56-P56)&gt;4*Q56),0,1))</f>
        <v/>
      </c>
    </row>
    <row r="97">
      <c r="B97" s="4" t="inlineStr">
        <is>
          <t>Include part</t>
        </is>
      </c>
      <c r="C97" s="5" t="inlineStr"/>
      <c r="D97" s="40">
        <f>IF(D6=0,"",IF(AND(E59&gt;0,(F59-D59)&gt;4*E59),0,1))</f>
        <v/>
      </c>
      <c r="E97" s="40">
        <f>IF(E6=0,"",IF(AND(E59&gt;0,(F59-D59)&gt;4*E59),0,1))</f>
        <v/>
      </c>
      <c r="F97" s="40">
        <f>IF(F6=0,"",IF(AND(E59&gt;0,(F59-D59)&gt;4*E59),0,1))</f>
        <v/>
      </c>
      <c r="G97" s="40">
        <f>IF(G6=0,"",IF(AND(H59&gt;0,(I59-G59)&gt;4*H59),0,1))</f>
        <v/>
      </c>
      <c r="H97" s="40">
        <f>IF(H6=0,"",IF(AND(H59&gt;0,(I59-G59)&gt;4*H59),0,1))</f>
        <v/>
      </c>
      <c r="I97" s="40">
        <f>IF(I6=0,"",IF(AND(H59&gt;0,(I59-G59)&gt;4*H59),0,1))</f>
        <v/>
      </c>
      <c r="J97" s="40">
        <f>IF(J6=0,"",IF(AND(K59&gt;0,(L59-J59)&gt;4*K59),0,1))</f>
        <v/>
      </c>
      <c r="K97" s="40">
        <f>IF(K6=0,"",IF(AND(K59&gt;0,(L59-J59)&gt;4*K59),0,1))</f>
        <v/>
      </c>
      <c r="L97" s="40">
        <f>IF(L6=0,"",IF(AND(K59&gt;0,(L59-J59)&gt;4*K59),0,1))</f>
        <v/>
      </c>
      <c r="M97" s="40">
        <f>IF(M6=0,"",IF(AND(N59&gt;0,(O59-M59)&gt;4*N59),0,1))</f>
        <v/>
      </c>
      <c r="N97" s="40">
        <f>IF(N6=0,"",IF(AND(N59&gt;0,(O59-M59)&gt;4*N59),0,1))</f>
        <v/>
      </c>
      <c r="O97" s="40">
        <f>IF(O6=0,"",IF(AND(N59&gt;0,(O59-M59)&gt;4*N59),0,1))</f>
        <v/>
      </c>
      <c r="P97" s="40">
        <f>IF(P6=0,"",IF(AND(Q59&gt;0,(R59-P59)&gt;4*Q59),0,1))</f>
        <v/>
      </c>
      <c r="Q97" s="40">
        <f>IF(Q6=0,"",IF(AND(Q59&gt;0,(R59-P59)&gt;4*Q59),0,1))</f>
        <v/>
      </c>
      <c r="R97" s="40">
        <f>IF(R6=0,"",IF(AND(Q59&gt;0,(R59-P59)&gt;4*Q59),0,1))</f>
        <v/>
      </c>
    </row>
    <row r="98">
      <c r="B98" s="4" t="inlineStr">
        <is>
          <t>Include emp</t>
        </is>
      </c>
      <c r="C98" s="5" t="inlineStr"/>
      <c r="D98" s="40">
        <f>IF(D6=0,"",IF(AND(E63&gt;0,(F63-D63)&gt;4*E63),0,1))</f>
        <v/>
      </c>
      <c r="E98" s="40">
        <f>IF(E6=0,"",IF(AND(E63&gt;0,(F63-D63)&gt;4*E63),0,1))</f>
        <v/>
      </c>
      <c r="F98" s="40">
        <f>IF(F6=0,"",IF(AND(E63&gt;0,(F63-D63)&gt;4*E63),0,1))</f>
        <v/>
      </c>
      <c r="G98" s="40">
        <f>IF(G6=0,"",IF(AND(H63&gt;0,(I63-G63)&gt;4*H63),0,1))</f>
        <v/>
      </c>
      <c r="H98" s="40">
        <f>IF(H6=0,"",IF(AND(H63&gt;0,(I63-G63)&gt;4*H63),0,1))</f>
        <v/>
      </c>
      <c r="I98" s="40">
        <f>IF(I6=0,"",IF(AND(H63&gt;0,(I63-G63)&gt;4*H63),0,1))</f>
        <v/>
      </c>
      <c r="J98" s="40">
        <f>IF(J6=0,"",IF(AND(K63&gt;0,(L63-J63)&gt;4*K63),0,1))</f>
        <v/>
      </c>
      <c r="K98" s="40">
        <f>IF(K6=0,"",IF(AND(K63&gt;0,(L63-J63)&gt;4*K63),0,1))</f>
        <v/>
      </c>
      <c r="L98" s="40">
        <f>IF(L6=0,"",IF(AND(K63&gt;0,(L63-J63)&gt;4*K63),0,1))</f>
        <v/>
      </c>
      <c r="M98" s="40">
        <f>IF(M6=0,"",IF(AND(N63&gt;0,(O63-M63)&gt;4*N63),0,1))</f>
        <v/>
      </c>
      <c r="N98" s="40">
        <f>IF(N6=0,"",IF(AND(N63&gt;0,(O63-M63)&gt;4*N63),0,1))</f>
        <v/>
      </c>
      <c r="O98" s="40">
        <f>IF(O6=0,"",IF(AND(N63&gt;0,(O63-M63)&gt;4*N63),0,1))</f>
        <v/>
      </c>
      <c r="P98" s="40">
        <f>IF(P6=0,"",IF(AND(Q63&gt;0,(R63-P63)&gt;4*Q63),0,1))</f>
        <v/>
      </c>
      <c r="Q98" s="40">
        <f>IF(Q6=0,"",IF(AND(Q63&gt;0,(R63-P63)&gt;4*Q63),0,1))</f>
        <v/>
      </c>
      <c r="R98" s="40">
        <f>IF(R6=0,"",IF(AND(Q63&gt;0,(R63-P63)&gt;4*Q63),0,1))</f>
        <v/>
      </c>
    </row>
    <row r="99">
      <c r="B99" s="4" t="inlineStr">
        <is>
          <t>Include avp</t>
        </is>
      </c>
      <c r="C99" s="5" t="inlineStr"/>
      <c r="D99" s="40">
        <f>IF(D6=0,"",IF(AND(E66&gt;0,(F66-D66)&gt;4*E66),0,1))</f>
        <v/>
      </c>
      <c r="E99" s="40">
        <f>IF(E6=0,"",IF(AND(E66&gt;0,(F66-D66)&gt;4*E66),0,1))</f>
        <v/>
      </c>
      <c r="F99" s="40">
        <f>IF(F6=0,"",IF(AND(E66&gt;0,(F66-D66)&gt;4*E66),0,1))</f>
        <v/>
      </c>
      <c r="G99" s="40">
        <f>IF(G6=0,"",IF(AND(H66&gt;0,(I66-G66)&gt;4*H66),0,1))</f>
        <v/>
      </c>
      <c r="H99" s="40">
        <f>IF(H6=0,"",IF(AND(H66&gt;0,(I66-G66)&gt;4*H66),0,1))</f>
        <v/>
      </c>
      <c r="I99" s="40">
        <f>IF(I6=0,"",IF(AND(H66&gt;0,(I66-G66)&gt;4*H66),0,1))</f>
        <v/>
      </c>
      <c r="J99" s="40">
        <f>IF(J6=0,"",IF(AND(K66&gt;0,(L66-J66)&gt;4*K66),0,1))</f>
        <v/>
      </c>
      <c r="K99" s="40">
        <f>IF(K6=0,"",IF(AND(K66&gt;0,(L66-J66)&gt;4*K66),0,1))</f>
        <v/>
      </c>
      <c r="L99" s="40">
        <f>IF(L6=0,"",IF(AND(K66&gt;0,(L66-J66)&gt;4*K66),0,1))</f>
        <v/>
      </c>
      <c r="M99" s="40">
        <f>IF(M6=0,"",IF(AND(N66&gt;0,(O66-M66)&gt;4*N66),0,1))</f>
        <v/>
      </c>
      <c r="N99" s="40">
        <f>IF(N6=0,"",IF(AND(N66&gt;0,(O66-M66)&gt;4*N66),0,1))</f>
        <v/>
      </c>
      <c r="O99" s="40">
        <f>IF(O6=0,"",IF(AND(N66&gt;0,(O66-M66)&gt;4*N66),0,1))</f>
        <v/>
      </c>
      <c r="P99" s="40">
        <f>IF(P6=0,"",IF(AND(Q66&gt;0,(R66-P66)&gt;4*Q66),0,1))</f>
        <v/>
      </c>
      <c r="Q99" s="40">
        <f>IF(Q6=0,"",IF(AND(Q66&gt;0,(R66-P66)&gt;4*Q66),0,1))</f>
        <v/>
      </c>
      <c r="R99" s="40">
        <f>IF(R6=0,"",IF(AND(Q66&gt;0,(R66-P66)&gt;4*Q66),0,1))</f>
        <v/>
      </c>
    </row>
    <row r="100">
      <c r="B100" s="4" t="inlineStr">
        <is>
          <t>Include leg</t>
        </is>
      </c>
      <c r="C100" s="5" t="inlineStr"/>
      <c r="D100" s="40">
        <f>IF(D6=0,"",IF(AND(E68&gt;0,(F68-D68)&gt;4*E68),0,1))</f>
        <v/>
      </c>
      <c r="E100" s="40">
        <f>IF(E6=0,"",IF(AND(E68&gt;0,(F68-D68)&gt;4*E68),0,1))</f>
        <v/>
      </c>
      <c r="F100" s="40">
        <f>IF(F6=0,"",IF(AND(E68&gt;0,(F68-D68)&gt;4*E68),0,1))</f>
        <v/>
      </c>
      <c r="G100" s="40">
        <f>IF(G6=0,"",IF(AND(H68&gt;0,(I68-G68)&gt;4*H68),0,1))</f>
        <v/>
      </c>
      <c r="H100" s="40">
        <f>IF(H6=0,"",IF(AND(H68&gt;0,(I68-G68)&gt;4*H68),0,1))</f>
        <v/>
      </c>
      <c r="I100" s="40">
        <f>IF(I6=0,"",IF(AND(H68&gt;0,(I68-G68)&gt;4*H68),0,1))</f>
        <v/>
      </c>
      <c r="J100" s="40">
        <f>IF(J6=0,"",IF(AND(K68&gt;0,(L68-J68)&gt;4*K68),0,1))</f>
        <v/>
      </c>
      <c r="K100" s="40">
        <f>IF(K6=0,"",IF(AND(K68&gt;0,(L68-J68)&gt;4*K68),0,1))</f>
        <v/>
      </c>
      <c r="L100" s="40">
        <f>IF(L6=0,"",IF(AND(K68&gt;0,(L68-J68)&gt;4*K68),0,1))</f>
        <v/>
      </c>
      <c r="M100" s="40">
        <f>IF(M6=0,"",IF(AND(N68&gt;0,(O68-M68)&gt;4*N68),0,1))</f>
        <v/>
      </c>
      <c r="N100" s="40">
        <f>IF(N6=0,"",IF(AND(N68&gt;0,(O68-M68)&gt;4*N68),0,1))</f>
        <v/>
      </c>
      <c r="O100" s="40">
        <f>IF(O6=0,"",IF(AND(N68&gt;0,(O68-M68)&gt;4*N68),0,1))</f>
        <v/>
      </c>
      <c r="P100" s="40">
        <f>IF(P6=0,"",IF(AND(Q68&gt;0,(R68-P68)&gt;4*Q68),0,1))</f>
        <v/>
      </c>
      <c r="Q100" s="40">
        <f>IF(Q6=0,"",IF(AND(Q68&gt;0,(R68-P68)&gt;4*Q68),0,1))</f>
        <v/>
      </c>
      <c r="R100" s="40">
        <f>IF(R6=0,"",IF(AND(Q68&gt;0,(R68-P68)&gt;4*Q68),0,1))</f>
        <v/>
      </c>
    </row>
    <row r="101">
      <c r="B101" s="7" t="inlineStr">
        <is>
          <t>Results</t>
        </is>
      </c>
      <c r="D101" s="8" t="n"/>
      <c r="E101" s="8" t="n"/>
      <c r="F101" s="8" t="n"/>
      <c r="G101" s="8" t="n"/>
      <c r="H101" s="8" t="n"/>
      <c r="I101" s="8" t="n"/>
      <c r="J101" s="8" t="n"/>
      <c r="K101" s="8" t="n"/>
      <c r="L101" s="8" t="n"/>
      <c r="M101" s="8" t="n"/>
      <c r="N101" s="8" t="n"/>
      <c r="O101" s="8" t="n"/>
      <c r="P101" s="8" t="n"/>
      <c r="Q101" s="8" t="n"/>
      <c r="R101" s="8" t="n"/>
    </row>
    <row r="102">
      <c r="B102" s="4" t="inlineStr">
        <is>
          <t>Present value of benefits, Gateshead</t>
        </is>
      </c>
      <c r="C102" s="5" t="inlineStr">
        <is>
          <t>£</t>
        </is>
      </c>
      <c r="D102" s="45">
        <f>IF(D6=0,"",D53*D95+D56*D96+D59*D97+D63*D98+D66*D99+IF(Settings!$B$9="Yes",D68*D100,0)+D80)</f>
        <v/>
      </c>
      <c r="E102" s="45">
        <f>IF(E6=0,"",E53*E95+E56*E96+E59*E97+E63*E98+E66*E99+IF(Settings!$B$9="Yes",E68*E100,0)+E80)</f>
        <v/>
      </c>
      <c r="F102" s="45">
        <f>IF(F6=0,"",F53*F95+F56*F96+F59*F97+F63*F98+F66*F99+IF(Settings!$B$9="Yes",F68*F100,0)+F80)</f>
        <v/>
      </c>
      <c r="G102" s="45">
        <f>IF(G6=0,"",G53*G95+G56*G96+G59*G97+G63*G98+G66*G99+IF(Settings!$B$9="Yes",G68*G100,0)+G80)</f>
        <v/>
      </c>
      <c r="H102" s="45">
        <f>IF(H6=0,"",H53*H95+H56*H96+H59*H97+H63*H98+H66*H99+IF(Settings!$B$9="Yes",H68*H100,0)+H80)</f>
        <v/>
      </c>
      <c r="I102" s="45">
        <f>IF(I6=0,"",I53*I95+I56*I96+I59*I97+I63*I98+I66*I99+IF(Settings!$B$9="Yes",I68*I100,0)+I80)</f>
        <v/>
      </c>
      <c r="J102" s="45">
        <f>IF(J6=0,"",J53*J95+J56*J96+J59*J97+J63*J98+J66*J99+IF(Settings!$B$9="Yes",J68*J100,0)+J80)</f>
        <v/>
      </c>
      <c r="K102" s="45">
        <f>IF(K6=0,"",K53*K95+K56*K96+K59*K97+K63*K98+K66*K99+IF(Settings!$B$9="Yes",K68*K100,0)+K80)</f>
        <v/>
      </c>
      <c r="L102" s="45">
        <f>IF(L6=0,"",L53*L95+L56*L96+L59*L97+L63*L98+L66*L99+IF(Settings!$B$9="Yes",L68*L100,0)+L80)</f>
        <v/>
      </c>
      <c r="M102" s="45">
        <f>IF(M6=0,"",M53*M95+M56*M96+M59*M97+M63*M98+M66*M99+IF(Settings!$B$9="Yes",M68*M100,0)+M80)</f>
        <v/>
      </c>
      <c r="N102" s="45">
        <f>IF(N6=0,"",N53*N95+N56*N96+N59*N97+N63*N98+N66*N99+IF(Settings!$B$9="Yes",N68*N100,0)+N80)</f>
        <v/>
      </c>
      <c r="O102" s="45">
        <f>IF(O6=0,"",O53*O95+O56*O96+O59*O97+O63*O98+O66*O99+IF(Settings!$B$9="Yes",O68*O100,0)+O80)</f>
        <v/>
      </c>
      <c r="P102" s="45">
        <f>IF(P6=0,"",P53*P95+P56*P96+P59*P97+P63*P98+P66*P99+IF(Settings!$B$9="Yes",P68*P100,0)+P80)</f>
        <v/>
      </c>
      <c r="Q102" s="45">
        <f>IF(Q6=0,"",Q53*Q95+Q56*Q96+Q59*Q97+Q63*Q98+Q66*Q99+IF(Settings!$B$9="Yes",Q68*Q100,0)+Q80)</f>
        <v/>
      </c>
      <c r="R102" s="45">
        <f>IF(R6=0,"",R53*R95+R56*R96+R59*R97+R63*R98+R66*R99+IF(Settings!$B$9="Yes",R68*R100,0)+R80)</f>
        <v/>
      </c>
    </row>
    <row r="103">
      <c r="B103" s="4" t="inlineStr">
        <is>
          <t>Present value of benefits, UK</t>
        </is>
      </c>
      <c r="C103" s="5" t="inlineStr">
        <is>
          <t>£</t>
        </is>
      </c>
      <c r="D103" s="45">
        <f>IF(D6=0,"",D102-IF(Settings!$B$8="Yes",0,D63*D98))</f>
        <v/>
      </c>
      <c r="E103" s="45">
        <f>IF(E6=0,"",E102-IF(Settings!$B$8="Yes",0,E63*E98))</f>
        <v/>
      </c>
      <c r="F103" s="45">
        <f>IF(F6=0,"",F102-IF(Settings!$B$8="Yes",0,F63*F98))</f>
        <v/>
      </c>
      <c r="G103" s="45">
        <f>IF(G6=0,"",G102-IF(Settings!$B$8="Yes",0,G63*G98))</f>
        <v/>
      </c>
      <c r="H103" s="45">
        <f>IF(H6=0,"",H102-IF(Settings!$B$8="Yes",0,H63*H98))</f>
        <v/>
      </c>
      <c r="I103" s="45">
        <f>IF(I6=0,"",I102-IF(Settings!$B$8="Yes",0,I63*I98))</f>
        <v/>
      </c>
      <c r="J103" s="45">
        <f>IF(J6=0,"",J102-IF(Settings!$B$8="Yes",0,J63*J98))</f>
        <v/>
      </c>
      <c r="K103" s="45">
        <f>IF(K6=0,"",K102-IF(Settings!$B$8="Yes",0,K63*K98))</f>
        <v/>
      </c>
      <c r="L103" s="45">
        <f>IF(L6=0,"",L102-IF(Settings!$B$8="Yes",0,L63*L98))</f>
        <v/>
      </c>
      <c r="M103" s="45">
        <f>IF(M6=0,"",M102-IF(Settings!$B$8="Yes",0,M63*M98))</f>
        <v/>
      </c>
      <c r="N103" s="45">
        <f>IF(N6=0,"",N102-IF(Settings!$B$8="Yes",0,N63*N98))</f>
        <v/>
      </c>
      <c r="O103" s="45">
        <f>IF(O6=0,"",O102-IF(Settings!$B$8="Yes",0,O63*O98))</f>
        <v/>
      </c>
      <c r="P103" s="45">
        <f>IF(P6=0,"",P102-IF(Settings!$B$8="Yes",0,P63*P98))</f>
        <v/>
      </c>
      <c r="Q103" s="45">
        <f>IF(Q6=0,"",Q102-IF(Settings!$B$8="Yes",0,Q63*Q98))</f>
        <v/>
      </c>
      <c r="R103" s="45">
        <f>IF(R6=0,"",R102-IF(Settings!$B$8="Yes",0,R63*R98))</f>
        <v/>
      </c>
    </row>
    <row r="104">
      <c r="B104" s="4" t="inlineStr">
        <is>
          <t>Present value of benefits, rest of UK</t>
        </is>
      </c>
      <c r="C104" s="5" t="inlineStr">
        <is>
          <t>£</t>
        </is>
      </c>
      <c r="D104" s="45">
        <f>IF(D6=0,"",D103-D102)</f>
        <v/>
      </c>
      <c r="E104" s="45">
        <f>IF(E6=0,"",E103-E102)</f>
        <v/>
      </c>
      <c r="F104" s="45">
        <f>IF(F6=0,"",F103-F102)</f>
        <v/>
      </c>
      <c r="G104" s="45">
        <f>IF(G6=0,"",G103-G102)</f>
        <v/>
      </c>
      <c r="H104" s="45">
        <f>IF(H6=0,"",H103-H102)</f>
        <v/>
      </c>
      <c r="I104" s="45">
        <f>IF(I6=0,"",I103-I102)</f>
        <v/>
      </c>
      <c r="J104" s="45">
        <f>IF(J6=0,"",J103-J102)</f>
        <v/>
      </c>
      <c r="K104" s="45">
        <f>IF(K6=0,"",K103-K102)</f>
        <v/>
      </c>
      <c r="L104" s="45">
        <f>IF(L6=0,"",L103-L102)</f>
        <v/>
      </c>
      <c r="M104" s="45">
        <f>IF(M6=0,"",M103-M102)</f>
        <v/>
      </c>
      <c r="N104" s="45">
        <f>IF(N6=0,"",N103-N102)</f>
        <v/>
      </c>
      <c r="O104" s="45">
        <f>IF(O6=0,"",O103-O102)</f>
        <v/>
      </c>
      <c r="P104" s="45">
        <f>IF(P6=0,"",P103-P102)</f>
        <v/>
      </c>
      <c r="Q104" s="45">
        <f>IF(Q6=0,"",Q103-Q102)</f>
        <v/>
      </c>
      <c r="R104" s="45">
        <f>IF(R6=0,"",R103-R102)</f>
        <v/>
      </c>
    </row>
    <row r="105">
      <c r="B105" s="4" t="inlineStr">
        <is>
          <t>Benefits, Gateshead, with streams outside the range rule put back</t>
        </is>
      </c>
      <c r="C105" s="5" t="inlineStr">
        <is>
          <t>£</t>
        </is>
      </c>
      <c r="D105" s="45">
        <f>IF(D6=0,"",D53+D56+D59+D63+D66+IF(Settings!$B$9="Yes",D68,0)+D80)</f>
        <v/>
      </c>
      <c r="E105" s="45">
        <f>IF(E6=0,"",E53+E56+E59+E63+E66+IF(Settings!$B$9="Yes",E68,0)+E80)</f>
        <v/>
      </c>
      <c r="F105" s="45">
        <f>IF(F6=0,"",F53+F56+F59+F63+F66+IF(Settings!$B$9="Yes",F68,0)+F80)</f>
        <v/>
      </c>
      <c r="G105" s="45">
        <f>IF(G6=0,"",G53+G56+G59+G63+G66+IF(Settings!$B$9="Yes",G68,0)+G80)</f>
        <v/>
      </c>
      <c r="H105" s="45">
        <f>IF(H6=0,"",H53+H56+H59+H63+H66+IF(Settings!$B$9="Yes",H68,0)+H80)</f>
        <v/>
      </c>
      <c r="I105" s="45">
        <f>IF(I6=0,"",I53+I56+I59+I63+I66+IF(Settings!$B$9="Yes",I68,0)+I80)</f>
        <v/>
      </c>
      <c r="J105" s="45">
        <f>IF(J6=0,"",J53+J56+J59+J63+J66+IF(Settings!$B$9="Yes",J68,0)+J80)</f>
        <v/>
      </c>
      <c r="K105" s="45">
        <f>IF(K6=0,"",K53+K56+K59+K63+K66+IF(Settings!$B$9="Yes",K68,0)+K80)</f>
        <v/>
      </c>
      <c r="L105" s="45">
        <f>IF(L6=0,"",L53+L56+L59+L63+L66+IF(Settings!$B$9="Yes",L68,0)+L80)</f>
        <v/>
      </c>
      <c r="M105" s="45">
        <f>IF(M6=0,"",M53+M56+M59+M63+M66+IF(Settings!$B$9="Yes",M68,0)+M80)</f>
        <v/>
      </c>
      <c r="N105" s="45">
        <f>IF(N6=0,"",N53+N56+N59+N63+N66+IF(Settings!$B$9="Yes",N68,0)+N80)</f>
        <v/>
      </c>
      <c r="O105" s="45">
        <f>IF(O6=0,"",O53+O56+O59+O63+O66+IF(Settings!$B$9="Yes",O68,0)+O80)</f>
        <v/>
      </c>
      <c r="P105" s="45">
        <f>IF(P6=0,"",P53+P56+P59+P63+P66+IF(Settings!$B$9="Yes",P68,0)+P80)</f>
        <v/>
      </c>
      <c r="Q105" s="45">
        <f>IF(Q6=0,"",Q53+Q56+Q59+Q63+Q66+IF(Settings!$B$9="Yes",Q68,0)+Q80)</f>
        <v/>
      </c>
      <c r="R105" s="45">
        <f>IF(R6=0,"",R53+R56+R59+R63+R66+IF(Settings!$B$9="Yes",R68,0)+R80)</f>
        <v/>
      </c>
    </row>
    <row r="106">
      <c r="B106" s="4" t="inlineStr">
        <is>
          <t>Benefits, UK, with streams outside the range rule put back</t>
        </is>
      </c>
      <c r="C106" s="5" t="inlineStr">
        <is>
          <t>£</t>
        </is>
      </c>
      <c r="D106" s="45">
        <f>IF(D6=0,"",D105-IF(Settings!$B$8="Yes",0,D63))</f>
        <v/>
      </c>
      <c r="E106" s="45">
        <f>IF(E6=0,"",E105-IF(Settings!$B$8="Yes",0,E63))</f>
        <v/>
      </c>
      <c r="F106" s="45">
        <f>IF(F6=0,"",F105-IF(Settings!$B$8="Yes",0,F63))</f>
        <v/>
      </c>
      <c r="G106" s="45">
        <f>IF(G6=0,"",G105-IF(Settings!$B$8="Yes",0,G63))</f>
        <v/>
      </c>
      <c r="H106" s="45">
        <f>IF(H6=0,"",H105-IF(Settings!$B$8="Yes",0,H63))</f>
        <v/>
      </c>
      <c r="I106" s="45">
        <f>IF(I6=0,"",I105-IF(Settings!$B$8="Yes",0,I63))</f>
        <v/>
      </c>
      <c r="J106" s="45">
        <f>IF(J6=0,"",J105-IF(Settings!$B$8="Yes",0,J63))</f>
        <v/>
      </c>
      <c r="K106" s="45">
        <f>IF(K6=0,"",K105-IF(Settings!$B$8="Yes",0,K63))</f>
        <v/>
      </c>
      <c r="L106" s="45">
        <f>IF(L6=0,"",L105-IF(Settings!$B$8="Yes",0,L63))</f>
        <v/>
      </c>
      <c r="M106" s="45">
        <f>IF(M6=0,"",M105-IF(Settings!$B$8="Yes",0,M63))</f>
        <v/>
      </c>
      <c r="N106" s="45">
        <f>IF(N6=0,"",N105-IF(Settings!$B$8="Yes",0,N63))</f>
        <v/>
      </c>
      <c r="O106" s="45">
        <f>IF(O6=0,"",O105-IF(Settings!$B$8="Yes",0,O63))</f>
        <v/>
      </c>
      <c r="P106" s="45">
        <f>IF(P6=0,"",P105-IF(Settings!$B$8="Yes",0,P63))</f>
        <v/>
      </c>
      <c r="Q106" s="45">
        <f>IF(Q6=0,"",Q105-IF(Settings!$B$8="Yes",0,Q63))</f>
        <v/>
      </c>
      <c r="R106" s="45">
        <f>IF(R6=0,"",R105-IF(Settings!$B$8="Yes",0,R63))</f>
        <v/>
      </c>
    </row>
    <row r="107">
      <c r="B107" s="4" t="inlineStr">
        <is>
          <t>Benefit-cost ratio, Gateshead</t>
        </is>
      </c>
      <c r="C107" s="5" t="inlineStr">
        <is>
          <t>ratio</t>
        </is>
      </c>
      <c r="D107" s="41">
        <f>IF(D6=0,"",IF(D91&gt;0,D102/D91,99))</f>
        <v/>
      </c>
      <c r="E107" s="41">
        <f>IF(E6=0,"",IF(E91&gt;0,E102/E91,99))</f>
        <v/>
      </c>
      <c r="F107" s="41">
        <f>IF(F6=0,"",IF(F91&gt;0,F102/F91,99))</f>
        <v/>
      </c>
      <c r="G107" s="41">
        <f>IF(G6=0,"",IF(G91&gt;0,G102/G91,99))</f>
        <v/>
      </c>
      <c r="H107" s="41">
        <f>IF(H6=0,"",IF(H91&gt;0,H102/H91,99))</f>
        <v/>
      </c>
      <c r="I107" s="41">
        <f>IF(I6=0,"",IF(I91&gt;0,I102/I91,99))</f>
        <v/>
      </c>
      <c r="J107" s="41">
        <f>IF(J6=0,"",IF(J91&gt;0,J102/J91,99))</f>
        <v/>
      </c>
      <c r="K107" s="41">
        <f>IF(K6=0,"",IF(K91&gt;0,K102/K91,99))</f>
        <v/>
      </c>
      <c r="L107" s="41">
        <f>IF(L6=0,"",IF(L91&gt;0,L102/L91,99))</f>
        <v/>
      </c>
      <c r="M107" s="41">
        <f>IF(M6=0,"",IF(M91&gt;0,M102/M91,99))</f>
        <v/>
      </c>
      <c r="N107" s="41">
        <f>IF(N6=0,"",IF(N91&gt;0,N102/N91,99))</f>
        <v/>
      </c>
      <c r="O107" s="41">
        <f>IF(O6=0,"",IF(O91&gt;0,O102/O91,99))</f>
        <v/>
      </c>
      <c r="P107" s="41">
        <f>IF(P6=0,"",IF(P91&gt;0,P102/P91,99))</f>
        <v/>
      </c>
      <c r="Q107" s="41">
        <f>IF(Q6=0,"",IF(Q91&gt;0,Q102/Q91,99))</f>
        <v/>
      </c>
      <c r="R107" s="41">
        <f>IF(R6=0,"",IF(R91&gt;0,R102/R91,99))</f>
        <v/>
      </c>
    </row>
    <row r="108">
      <c r="B108" s="4" t="inlineStr">
        <is>
          <t>Benefit-cost ratio without the offsetting transfers, Gateshead</t>
        </is>
      </c>
      <c r="C108" s="5" t="inlineStr">
        <is>
          <t>ratio</t>
        </is>
      </c>
      <c r="D108" s="41">
        <f>IF(D6=0,"",IF(D91&gt;0,(D102-D80)/D91,99))</f>
        <v/>
      </c>
      <c r="E108" s="41">
        <f>IF(E6=0,"",IF(E91&gt;0,(E102-E80)/E91,99))</f>
        <v/>
      </c>
      <c r="F108" s="41">
        <f>IF(F6=0,"",IF(F91&gt;0,(F102-F80)/F91,99))</f>
        <v/>
      </c>
      <c r="G108" s="41">
        <f>IF(G6=0,"",IF(G91&gt;0,(G102-G80)/G91,99))</f>
        <v/>
      </c>
      <c r="H108" s="41">
        <f>IF(H6=0,"",IF(H91&gt;0,(H102-H80)/H91,99))</f>
        <v/>
      </c>
      <c r="I108" s="41">
        <f>IF(I6=0,"",IF(I91&gt;0,(I102-I80)/I91,99))</f>
        <v/>
      </c>
      <c r="J108" s="41">
        <f>IF(J6=0,"",IF(J91&gt;0,(J102-J80)/J91,99))</f>
        <v/>
      </c>
      <c r="K108" s="41">
        <f>IF(K6=0,"",IF(K91&gt;0,(K102-K80)/K91,99))</f>
        <v/>
      </c>
      <c r="L108" s="41">
        <f>IF(L6=0,"",IF(L91&gt;0,(L102-L80)/L91,99))</f>
        <v/>
      </c>
      <c r="M108" s="41">
        <f>IF(M6=0,"",IF(M91&gt;0,(M102-M80)/M91,99))</f>
        <v/>
      </c>
      <c r="N108" s="41">
        <f>IF(N6=0,"",IF(N91&gt;0,(N102-N80)/N91,99))</f>
        <v/>
      </c>
      <c r="O108" s="41">
        <f>IF(O6=0,"",IF(O91&gt;0,(O102-O80)/O91,99))</f>
        <v/>
      </c>
      <c r="P108" s="41">
        <f>IF(P6=0,"",IF(P91&gt;0,(P102-P80)/P91,99))</f>
        <v/>
      </c>
      <c r="Q108" s="41">
        <f>IF(Q6=0,"",IF(Q91&gt;0,(Q102-Q80)/Q91,99))</f>
        <v/>
      </c>
      <c r="R108" s="41">
        <f>IF(R6=0,"",IF(R91&gt;0,(R102-R80)/R91,99))</f>
        <v/>
      </c>
    </row>
    <row r="109">
      <c r="B109" s="4" t="inlineStr">
        <is>
          <t>Benefit-cost ratio with excluded streams put back, Gateshead</t>
        </is>
      </c>
      <c r="C109" s="5" t="inlineStr">
        <is>
          <t>ratio</t>
        </is>
      </c>
      <c r="D109" s="41">
        <f>IF(D6=0,"",IF(D91&gt;0,D105/D91,99))</f>
        <v/>
      </c>
      <c r="E109" s="41">
        <f>IF(E6=0,"",IF(E91&gt;0,E105/E91,99))</f>
        <v/>
      </c>
      <c r="F109" s="41">
        <f>IF(F6=0,"",IF(F91&gt;0,F105/F91,99))</f>
        <v/>
      </c>
      <c r="G109" s="41">
        <f>IF(G6=0,"",IF(G91&gt;0,G105/G91,99))</f>
        <v/>
      </c>
      <c r="H109" s="41">
        <f>IF(H6=0,"",IF(H91&gt;0,H105/H91,99))</f>
        <v/>
      </c>
      <c r="I109" s="41">
        <f>IF(I6=0,"",IF(I91&gt;0,I105/I91,99))</f>
        <v/>
      </c>
      <c r="J109" s="41">
        <f>IF(J6=0,"",IF(J91&gt;0,J105/J91,99))</f>
        <v/>
      </c>
      <c r="K109" s="41">
        <f>IF(K6=0,"",IF(K91&gt;0,K105/K91,99))</f>
        <v/>
      </c>
      <c r="L109" s="41">
        <f>IF(L6=0,"",IF(L91&gt;0,L105/L91,99))</f>
        <v/>
      </c>
      <c r="M109" s="41">
        <f>IF(M6=0,"",IF(M91&gt;0,M105/M91,99))</f>
        <v/>
      </c>
      <c r="N109" s="41">
        <f>IF(N6=0,"",IF(N91&gt;0,N105/N91,99))</f>
        <v/>
      </c>
      <c r="O109" s="41">
        <f>IF(O6=0,"",IF(O91&gt;0,O105/O91,99))</f>
        <v/>
      </c>
      <c r="P109" s="41">
        <f>IF(P6=0,"",IF(P91&gt;0,P105/P91,99))</f>
        <v/>
      </c>
      <c r="Q109" s="41">
        <f>IF(Q6=0,"",IF(Q91&gt;0,Q105/Q91,99))</f>
        <v/>
      </c>
      <c r="R109" s="41">
        <f>IF(R6=0,"",IF(R91&gt;0,R105/R91,99))</f>
        <v/>
      </c>
    </row>
    <row r="110">
      <c r="B110" s="4" t="inlineStr">
        <is>
          <t>Net present social value, Gateshead</t>
        </is>
      </c>
      <c r="C110" s="5" t="inlineStr">
        <is>
          <t>£</t>
        </is>
      </c>
      <c r="D110" s="45">
        <f>IF(D6=0,"",D102-D91)</f>
        <v/>
      </c>
      <c r="E110" s="45">
        <f>IF(E6=0,"",E102-E91)</f>
        <v/>
      </c>
      <c r="F110" s="45">
        <f>IF(F6=0,"",F102-F91)</f>
        <v/>
      </c>
      <c r="G110" s="45">
        <f>IF(G6=0,"",G102-G91)</f>
        <v/>
      </c>
      <c r="H110" s="45">
        <f>IF(H6=0,"",H102-H91)</f>
        <v/>
      </c>
      <c r="I110" s="45">
        <f>IF(I6=0,"",I102-I91)</f>
        <v/>
      </c>
      <c r="J110" s="45">
        <f>IF(J6=0,"",J102-J91)</f>
        <v/>
      </c>
      <c r="K110" s="45">
        <f>IF(K6=0,"",K102-K91)</f>
        <v/>
      </c>
      <c r="L110" s="45">
        <f>IF(L6=0,"",L102-L91)</f>
        <v/>
      </c>
      <c r="M110" s="45">
        <f>IF(M6=0,"",M102-M91)</f>
        <v/>
      </c>
      <c r="N110" s="45">
        <f>IF(N6=0,"",N102-N91)</f>
        <v/>
      </c>
      <c r="O110" s="45">
        <f>IF(O6=0,"",O102-O91)</f>
        <v/>
      </c>
      <c r="P110" s="45">
        <f>IF(P6=0,"",P102-P91)</f>
        <v/>
      </c>
      <c r="Q110" s="45">
        <f>IF(Q6=0,"",Q102-Q91)</f>
        <v/>
      </c>
      <c r="R110" s="45">
        <f>IF(R6=0,"",R102-R91)</f>
        <v/>
      </c>
    </row>
    <row r="111">
      <c r="B111" s="4" t="inlineStr">
        <is>
          <t>Value for money category, Gateshead</t>
        </is>
      </c>
      <c r="C111" s="5" t="inlineStr"/>
      <c r="D111" s="39">
        <f>IF(D6=0,"",IF(D91&lt;=0,"Net saving (judge on NPSV)",IF(D107&gt;=4,"Very High",IF(D107&gt;=2,"High",IF(D107&gt;=1.5,"Medium",IF(D107&gt;=1,"Acceptable",IF(D107&gt;=0,"Poor","Very Poor")))))))</f>
        <v/>
      </c>
      <c r="E111" s="39">
        <f>IF(E6=0,"",IF(E91&lt;=0,"Net saving (judge on NPSV)",IF(E107&gt;=4,"Very High",IF(E107&gt;=2,"High",IF(E107&gt;=1.5,"Medium",IF(E107&gt;=1,"Acceptable",IF(E107&gt;=0,"Poor","Very Poor")))))))</f>
        <v/>
      </c>
      <c r="F111" s="39">
        <f>IF(F6=0,"",IF(F91&lt;=0,"Net saving (judge on NPSV)",IF(F107&gt;=4,"Very High",IF(F107&gt;=2,"High",IF(F107&gt;=1.5,"Medium",IF(F107&gt;=1,"Acceptable",IF(F107&gt;=0,"Poor","Very Poor")))))))</f>
        <v/>
      </c>
      <c r="G111" s="39">
        <f>IF(G6=0,"",IF(G91&lt;=0,"Net saving (judge on NPSV)",IF(G107&gt;=4,"Very High",IF(G107&gt;=2,"High",IF(G107&gt;=1.5,"Medium",IF(G107&gt;=1,"Acceptable",IF(G107&gt;=0,"Poor","Very Poor")))))))</f>
        <v/>
      </c>
      <c r="H111" s="39">
        <f>IF(H6=0,"",IF(H91&lt;=0,"Net saving (judge on NPSV)",IF(H107&gt;=4,"Very High",IF(H107&gt;=2,"High",IF(H107&gt;=1.5,"Medium",IF(H107&gt;=1,"Acceptable",IF(H107&gt;=0,"Poor","Very Poor")))))))</f>
        <v/>
      </c>
      <c r="I111" s="39">
        <f>IF(I6=0,"",IF(I91&lt;=0,"Net saving (judge on NPSV)",IF(I107&gt;=4,"Very High",IF(I107&gt;=2,"High",IF(I107&gt;=1.5,"Medium",IF(I107&gt;=1,"Acceptable",IF(I107&gt;=0,"Poor","Very Poor")))))))</f>
        <v/>
      </c>
      <c r="J111" s="39">
        <f>IF(J6=0,"",IF(J91&lt;=0,"Net saving (judge on NPSV)",IF(J107&gt;=4,"Very High",IF(J107&gt;=2,"High",IF(J107&gt;=1.5,"Medium",IF(J107&gt;=1,"Acceptable",IF(J107&gt;=0,"Poor","Very Poor")))))))</f>
        <v/>
      </c>
      <c r="K111" s="39">
        <f>IF(K6=0,"",IF(K91&lt;=0,"Net saving (judge on NPSV)",IF(K107&gt;=4,"Very High",IF(K107&gt;=2,"High",IF(K107&gt;=1.5,"Medium",IF(K107&gt;=1,"Acceptable",IF(K107&gt;=0,"Poor","Very Poor")))))))</f>
        <v/>
      </c>
      <c r="L111" s="39">
        <f>IF(L6=0,"",IF(L91&lt;=0,"Net saving (judge on NPSV)",IF(L107&gt;=4,"Very High",IF(L107&gt;=2,"High",IF(L107&gt;=1.5,"Medium",IF(L107&gt;=1,"Acceptable",IF(L107&gt;=0,"Poor","Very Poor")))))))</f>
        <v/>
      </c>
      <c r="M111" s="39">
        <f>IF(M6=0,"",IF(M91&lt;=0,"Net saving (judge on NPSV)",IF(M107&gt;=4,"Very High",IF(M107&gt;=2,"High",IF(M107&gt;=1.5,"Medium",IF(M107&gt;=1,"Acceptable",IF(M107&gt;=0,"Poor","Very Poor")))))))</f>
        <v/>
      </c>
      <c r="N111" s="39">
        <f>IF(N6=0,"",IF(N91&lt;=0,"Net saving (judge on NPSV)",IF(N107&gt;=4,"Very High",IF(N107&gt;=2,"High",IF(N107&gt;=1.5,"Medium",IF(N107&gt;=1,"Acceptable",IF(N107&gt;=0,"Poor","Very Poor")))))))</f>
        <v/>
      </c>
      <c r="O111" s="39">
        <f>IF(O6=0,"",IF(O91&lt;=0,"Net saving (judge on NPSV)",IF(O107&gt;=4,"Very High",IF(O107&gt;=2,"High",IF(O107&gt;=1.5,"Medium",IF(O107&gt;=1,"Acceptable",IF(O107&gt;=0,"Poor","Very Poor")))))))</f>
        <v/>
      </c>
      <c r="P111" s="39">
        <f>IF(P6=0,"",IF(P91&lt;=0,"Net saving (judge on NPSV)",IF(P107&gt;=4,"Very High",IF(P107&gt;=2,"High",IF(P107&gt;=1.5,"Medium",IF(P107&gt;=1,"Acceptable",IF(P107&gt;=0,"Poor","Very Poor")))))))</f>
        <v/>
      </c>
      <c r="Q111" s="39">
        <f>IF(Q6=0,"",IF(Q91&lt;=0,"Net saving (judge on NPSV)",IF(Q107&gt;=4,"Very High",IF(Q107&gt;=2,"High",IF(Q107&gt;=1.5,"Medium",IF(Q107&gt;=1,"Acceptable",IF(Q107&gt;=0,"Poor","Very Poor")))))))</f>
        <v/>
      </c>
      <c r="R111" s="39">
        <f>IF(R6=0,"",IF(R91&lt;=0,"Net saving (judge on NPSV)",IF(R107&gt;=4,"Very High",IF(R107&gt;=2,"High",IF(R107&gt;=1.5,"Medium",IF(R107&gt;=1,"Acceptable",IF(R107&gt;=0,"Poor","Very Poor")))))))</f>
        <v/>
      </c>
    </row>
    <row r="112">
      <c r="B112" s="4" t="inlineStr">
        <is>
          <t>Benefit-cost ratio, UK</t>
        </is>
      </c>
      <c r="C112" s="5" t="inlineStr">
        <is>
          <t>ratio</t>
        </is>
      </c>
      <c r="D112" s="41">
        <f>IF(D6=0,"",IF(D91&gt;0,D103/D91,99))</f>
        <v/>
      </c>
      <c r="E112" s="41">
        <f>IF(E6=0,"",IF(E91&gt;0,E103/E91,99))</f>
        <v/>
      </c>
      <c r="F112" s="41">
        <f>IF(F6=0,"",IF(F91&gt;0,F103/F91,99))</f>
        <v/>
      </c>
      <c r="G112" s="41">
        <f>IF(G6=0,"",IF(G91&gt;0,G103/G91,99))</f>
        <v/>
      </c>
      <c r="H112" s="41">
        <f>IF(H6=0,"",IF(H91&gt;0,H103/H91,99))</f>
        <v/>
      </c>
      <c r="I112" s="41">
        <f>IF(I6=0,"",IF(I91&gt;0,I103/I91,99))</f>
        <v/>
      </c>
      <c r="J112" s="41">
        <f>IF(J6=0,"",IF(J91&gt;0,J103/J91,99))</f>
        <v/>
      </c>
      <c r="K112" s="41">
        <f>IF(K6=0,"",IF(K91&gt;0,K103/K91,99))</f>
        <v/>
      </c>
      <c r="L112" s="41">
        <f>IF(L6=0,"",IF(L91&gt;0,L103/L91,99))</f>
        <v/>
      </c>
      <c r="M112" s="41">
        <f>IF(M6=0,"",IF(M91&gt;0,M103/M91,99))</f>
        <v/>
      </c>
      <c r="N112" s="41">
        <f>IF(N6=0,"",IF(N91&gt;0,N103/N91,99))</f>
        <v/>
      </c>
      <c r="O112" s="41">
        <f>IF(O6=0,"",IF(O91&gt;0,O103/O91,99))</f>
        <v/>
      </c>
      <c r="P112" s="41">
        <f>IF(P6=0,"",IF(P91&gt;0,P103/P91,99))</f>
        <v/>
      </c>
      <c r="Q112" s="41">
        <f>IF(Q6=0,"",IF(Q91&gt;0,Q103/Q91,99))</f>
        <v/>
      </c>
      <c r="R112" s="41">
        <f>IF(R6=0,"",IF(R91&gt;0,R103/R91,99))</f>
        <v/>
      </c>
    </row>
    <row r="113">
      <c r="B113" s="4" t="inlineStr">
        <is>
          <t>Benefit-cost ratio without the offsetting transfers, UK</t>
        </is>
      </c>
      <c r="C113" s="5" t="inlineStr">
        <is>
          <t>ratio</t>
        </is>
      </c>
      <c r="D113" s="41">
        <f>IF(D6=0,"",IF(D91&gt;0,(D103-D80)/D91,99))</f>
        <v/>
      </c>
      <c r="E113" s="41">
        <f>IF(E6=0,"",IF(E91&gt;0,(E103-E80)/E91,99))</f>
        <v/>
      </c>
      <c r="F113" s="41">
        <f>IF(F6=0,"",IF(F91&gt;0,(F103-F80)/F91,99))</f>
        <v/>
      </c>
      <c r="G113" s="41">
        <f>IF(G6=0,"",IF(G91&gt;0,(G103-G80)/G91,99))</f>
        <v/>
      </c>
      <c r="H113" s="41">
        <f>IF(H6=0,"",IF(H91&gt;0,(H103-H80)/H91,99))</f>
        <v/>
      </c>
      <c r="I113" s="41">
        <f>IF(I6=0,"",IF(I91&gt;0,(I103-I80)/I91,99))</f>
        <v/>
      </c>
      <c r="J113" s="41">
        <f>IF(J6=0,"",IF(J91&gt;0,(J103-J80)/J91,99))</f>
        <v/>
      </c>
      <c r="K113" s="41">
        <f>IF(K6=0,"",IF(K91&gt;0,(K103-K80)/K91,99))</f>
        <v/>
      </c>
      <c r="L113" s="41">
        <f>IF(L6=0,"",IF(L91&gt;0,(L103-L80)/L91,99))</f>
        <v/>
      </c>
      <c r="M113" s="41">
        <f>IF(M6=0,"",IF(M91&gt;0,(M103-M80)/M91,99))</f>
        <v/>
      </c>
      <c r="N113" s="41">
        <f>IF(N6=0,"",IF(N91&gt;0,(N103-N80)/N91,99))</f>
        <v/>
      </c>
      <c r="O113" s="41">
        <f>IF(O6=0,"",IF(O91&gt;0,(O103-O80)/O91,99))</f>
        <v/>
      </c>
      <c r="P113" s="41">
        <f>IF(P6=0,"",IF(P91&gt;0,(P103-P80)/P91,99))</f>
        <v/>
      </c>
      <c r="Q113" s="41">
        <f>IF(Q6=0,"",IF(Q91&gt;0,(Q103-Q80)/Q91,99))</f>
        <v/>
      </c>
      <c r="R113" s="41">
        <f>IF(R6=0,"",IF(R91&gt;0,(R103-R80)/R91,99))</f>
        <v/>
      </c>
    </row>
    <row r="114">
      <c r="B114" s="4" t="inlineStr">
        <is>
          <t>Benefit-cost ratio with excluded streams put back, UK</t>
        </is>
      </c>
      <c r="C114" s="5" t="inlineStr">
        <is>
          <t>ratio</t>
        </is>
      </c>
      <c r="D114" s="41">
        <f>IF(D6=0,"",IF(D91&gt;0,D106/D91,99))</f>
        <v/>
      </c>
      <c r="E114" s="41">
        <f>IF(E6=0,"",IF(E91&gt;0,E106/E91,99))</f>
        <v/>
      </c>
      <c r="F114" s="41">
        <f>IF(F6=0,"",IF(F91&gt;0,F106/F91,99))</f>
        <v/>
      </c>
      <c r="G114" s="41">
        <f>IF(G6=0,"",IF(G91&gt;0,G106/G91,99))</f>
        <v/>
      </c>
      <c r="H114" s="41">
        <f>IF(H6=0,"",IF(H91&gt;0,H106/H91,99))</f>
        <v/>
      </c>
      <c r="I114" s="41">
        <f>IF(I6=0,"",IF(I91&gt;0,I106/I91,99))</f>
        <v/>
      </c>
      <c r="J114" s="41">
        <f>IF(J6=0,"",IF(J91&gt;0,J106/J91,99))</f>
        <v/>
      </c>
      <c r="K114" s="41">
        <f>IF(K6=0,"",IF(K91&gt;0,K106/K91,99))</f>
        <v/>
      </c>
      <c r="L114" s="41">
        <f>IF(L6=0,"",IF(L91&gt;0,L106/L91,99))</f>
        <v/>
      </c>
      <c r="M114" s="41">
        <f>IF(M6=0,"",IF(M91&gt;0,M106/M91,99))</f>
        <v/>
      </c>
      <c r="N114" s="41">
        <f>IF(N6=0,"",IF(N91&gt;0,N106/N91,99))</f>
        <v/>
      </c>
      <c r="O114" s="41">
        <f>IF(O6=0,"",IF(O91&gt;0,O106/O91,99))</f>
        <v/>
      </c>
      <c r="P114" s="41">
        <f>IF(P6=0,"",IF(P91&gt;0,P106/P91,99))</f>
        <v/>
      </c>
      <c r="Q114" s="41">
        <f>IF(Q6=0,"",IF(Q91&gt;0,Q106/Q91,99))</f>
        <v/>
      </c>
      <c r="R114" s="41">
        <f>IF(R6=0,"",IF(R91&gt;0,R106/R91,99))</f>
        <v/>
      </c>
    </row>
    <row r="115">
      <c r="B115" s="4" t="inlineStr">
        <is>
          <t>Net present social value, UK</t>
        </is>
      </c>
      <c r="C115" s="5" t="inlineStr">
        <is>
          <t>£</t>
        </is>
      </c>
      <c r="D115" s="45">
        <f>IF(D6=0,"",D103-D91)</f>
        <v/>
      </c>
      <c r="E115" s="45">
        <f>IF(E6=0,"",E103-E91)</f>
        <v/>
      </c>
      <c r="F115" s="45">
        <f>IF(F6=0,"",F103-F91)</f>
        <v/>
      </c>
      <c r="G115" s="45">
        <f>IF(G6=0,"",G103-G91)</f>
        <v/>
      </c>
      <c r="H115" s="45">
        <f>IF(H6=0,"",H103-H91)</f>
        <v/>
      </c>
      <c r="I115" s="45">
        <f>IF(I6=0,"",I103-I91)</f>
        <v/>
      </c>
      <c r="J115" s="45">
        <f>IF(J6=0,"",J103-J91)</f>
        <v/>
      </c>
      <c r="K115" s="45">
        <f>IF(K6=0,"",K103-K91)</f>
        <v/>
      </c>
      <c r="L115" s="45">
        <f>IF(L6=0,"",L103-L91)</f>
        <v/>
      </c>
      <c r="M115" s="45">
        <f>IF(M6=0,"",M103-M91)</f>
        <v/>
      </c>
      <c r="N115" s="45">
        <f>IF(N6=0,"",N103-N91)</f>
        <v/>
      </c>
      <c r="O115" s="45">
        <f>IF(O6=0,"",O103-O91)</f>
        <v/>
      </c>
      <c r="P115" s="45">
        <f>IF(P6=0,"",P103-P91)</f>
        <v/>
      </c>
      <c r="Q115" s="45">
        <f>IF(Q6=0,"",Q103-Q91)</f>
        <v/>
      </c>
      <c r="R115" s="45">
        <f>IF(R6=0,"",R103-R91)</f>
        <v/>
      </c>
    </row>
    <row r="116">
      <c r="B116" s="4" t="inlineStr">
        <is>
          <t>Value for money category, UK</t>
        </is>
      </c>
      <c r="C116" s="5" t="inlineStr"/>
      <c r="D116" s="39">
        <f>IF(D6=0,"",IF(D91&lt;=0,"Net saving (judge on NPSV)",IF(D112&gt;=4,"Very High",IF(D112&gt;=2,"High",IF(D112&gt;=1.5,"Medium",IF(D112&gt;=1,"Acceptable",IF(D112&gt;=0,"Poor","Very Poor")))))))</f>
        <v/>
      </c>
      <c r="E116" s="39">
        <f>IF(E6=0,"",IF(E91&lt;=0,"Net saving (judge on NPSV)",IF(E112&gt;=4,"Very High",IF(E112&gt;=2,"High",IF(E112&gt;=1.5,"Medium",IF(E112&gt;=1,"Acceptable",IF(E112&gt;=0,"Poor","Very Poor")))))))</f>
        <v/>
      </c>
      <c r="F116" s="39">
        <f>IF(F6=0,"",IF(F91&lt;=0,"Net saving (judge on NPSV)",IF(F112&gt;=4,"Very High",IF(F112&gt;=2,"High",IF(F112&gt;=1.5,"Medium",IF(F112&gt;=1,"Acceptable",IF(F112&gt;=0,"Poor","Very Poor")))))))</f>
        <v/>
      </c>
      <c r="G116" s="39">
        <f>IF(G6=0,"",IF(G91&lt;=0,"Net saving (judge on NPSV)",IF(G112&gt;=4,"Very High",IF(G112&gt;=2,"High",IF(G112&gt;=1.5,"Medium",IF(G112&gt;=1,"Acceptable",IF(G112&gt;=0,"Poor","Very Poor")))))))</f>
        <v/>
      </c>
      <c r="H116" s="39">
        <f>IF(H6=0,"",IF(H91&lt;=0,"Net saving (judge on NPSV)",IF(H112&gt;=4,"Very High",IF(H112&gt;=2,"High",IF(H112&gt;=1.5,"Medium",IF(H112&gt;=1,"Acceptable",IF(H112&gt;=0,"Poor","Very Poor")))))))</f>
        <v/>
      </c>
      <c r="I116" s="39">
        <f>IF(I6=0,"",IF(I91&lt;=0,"Net saving (judge on NPSV)",IF(I112&gt;=4,"Very High",IF(I112&gt;=2,"High",IF(I112&gt;=1.5,"Medium",IF(I112&gt;=1,"Acceptable",IF(I112&gt;=0,"Poor","Very Poor")))))))</f>
        <v/>
      </c>
      <c r="J116" s="39">
        <f>IF(J6=0,"",IF(J91&lt;=0,"Net saving (judge on NPSV)",IF(J112&gt;=4,"Very High",IF(J112&gt;=2,"High",IF(J112&gt;=1.5,"Medium",IF(J112&gt;=1,"Acceptable",IF(J112&gt;=0,"Poor","Very Poor")))))))</f>
        <v/>
      </c>
      <c r="K116" s="39">
        <f>IF(K6=0,"",IF(K91&lt;=0,"Net saving (judge on NPSV)",IF(K112&gt;=4,"Very High",IF(K112&gt;=2,"High",IF(K112&gt;=1.5,"Medium",IF(K112&gt;=1,"Acceptable",IF(K112&gt;=0,"Poor","Very Poor")))))))</f>
        <v/>
      </c>
      <c r="L116" s="39">
        <f>IF(L6=0,"",IF(L91&lt;=0,"Net saving (judge on NPSV)",IF(L112&gt;=4,"Very High",IF(L112&gt;=2,"High",IF(L112&gt;=1.5,"Medium",IF(L112&gt;=1,"Acceptable",IF(L112&gt;=0,"Poor","Very Poor")))))))</f>
        <v/>
      </c>
      <c r="M116" s="39">
        <f>IF(M6=0,"",IF(M91&lt;=0,"Net saving (judge on NPSV)",IF(M112&gt;=4,"Very High",IF(M112&gt;=2,"High",IF(M112&gt;=1.5,"Medium",IF(M112&gt;=1,"Acceptable",IF(M112&gt;=0,"Poor","Very Poor")))))))</f>
        <v/>
      </c>
      <c r="N116" s="39">
        <f>IF(N6=0,"",IF(N91&lt;=0,"Net saving (judge on NPSV)",IF(N112&gt;=4,"Very High",IF(N112&gt;=2,"High",IF(N112&gt;=1.5,"Medium",IF(N112&gt;=1,"Acceptable",IF(N112&gt;=0,"Poor","Very Poor")))))))</f>
        <v/>
      </c>
      <c r="O116" s="39">
        <f>IF(O6=0,"",IF(O91&lt;=0,"Net saving (judge on NPSV)",IF(O112&gt;=4,"Very High",IF(O112&gt;=2,"High",IF(O112&gt;=1.5,"Medium",IF(O112&gt;=1,"Acceptable",IF(O112&gt;=0,"Poor","Very Poor")))))))</f>
        <v/>
      </c>
      <c r="P116" s="39">
        <f>IF(P6=0,"",IF(P91&lt;=0,"Net saving (judge on NPSV)",IF(P112&gt;=4,"Very High",IF(P112&gt;=2,"High",IF(P112&gt;=1.5,"Medium",IF(P112&gt;=1,"Acceptable",IF(P112&gt;=0,"Poor","Very Poor")))))))</f>
        <v/>
      </c>
      <c r="Q116" s="39">
        <f>IF(Q6=0,"",IF(Q91&lt;=0,"Net saving (judge on NPSV)",IF(Q112&gt;=4,"Very High",IF(Q112&gt;=2,"High",IF(Q112&gt;=1.5,"Medium",IF(Q112&gt;=1,"Acceptable",IF(Q112&gt;=0,"Poor","Very Poor")))))))</f>
        <v/>
      </c>
      <c r="R116" s="39">
        <f>IF(R6=0,"",IF(R91&lt;=0,"Net saving (judge on NPSV)",IF(R112&gt;=4,"Very High",IF(R112&gt;=2,"High",IF(R112&gt;=1.5,"Medium",IF(R112&gt;=1,"Acceptable",IF(R112&gt;=0,"Poor","Very Poor")))))))</f>
        <v/>
      </c>
    </row>
    <row r="117">
      <c r="B117" s="4" t="inlineStr">
        <is>
          <t>Weakest grade among streams in the ratio</t>
        </is>
      </c>
      <c r="C117" s="5" t="inlineStr"/>
      <c r="D117" s="40">
        <f>IF(D6=0,"",MAX(IF(D53*D95&gt;0,D52,0),IF(D56*D96&gt;0,Assumptions!$Q$80,0),IF(D59*D97&gt;0,Assumptions!$Q$84,0),IF(D63*D98&gt;0,D61,0),IF(D66*D99&gt;0,D65,0),IF(AND(Settings!$B$9="Yes",D68*D100&gt;0),6,0)))</f>
        <v/>
      </c>
      <c r="E117" s="40">
        <f>IF(E6=0,"",MAX(IF(E53*E95&gt;0,E52,0),IF(E56*E96&gt;0,Assumptions!$Q$80,0),IF(E59*E97&gt;0,Assumptions!$Q$84,0),IF(E63*E98&gt;0,E61,0),IF(E66*E99&gt;0,E65,0),IF(AND(Settings!$B$9="Yes",E68*E100&gt;0),6,0)))</f>
        <v/>
      </c>
      <c r="F117" s="40">
        <f>IF(F6=0,"",MAX(IF(F53*F95&gt;0,F52,0),IF(F56*F96&gt;0,Assumptions!$Q$80,0),IF(F59*F97&gt;0,Assumptions!$Q$84,0),IF(F63*F98&gt;0,F61,0),IF(F66*F99&gt;0,F65,0),IF(AND(Settings!$B$9="Yes",F68*F100&gt;0),6,0)))</f>
        <v/>
      </c>
      <c r="G117" s="40">
        <f>IF(G6=0,"",MAX(IF(G53*G95&gt;0,G52,0),IF(G56*G96&gt;0,Assumptions!$Q$80,0),IF(G59*G97&gt;0,Assumptions!$Q$84,0),IF(G63*G98&gt;0,G61,0),IF(G66*G99&gt;0,G65,0),IF(AND(Settings!$B$9="Yes",G68*G100&gt;0),6,0)))</f>
        <v/>
      </c>
      <c r="H117" s="40">
        <f>IF(H6=0,"",MAX(IF(H53*H95&gt;0,H52,0),IF(H56*H96&gt;0,Assumptions!$Q$80,0),IF(H59*H97&gt;0,Assumptions!$Q$84,0),IF(H63*H98&gt;0,H61,0),IF(H66*H99&gt;0,H65,0),IF(AND(Settings!$B$9="Yes",H68*H100&gt;0),6,0)))</f>
        <v/>
      </c>
      <c r="I117" s="40">
        <f>IF(I6=0,"",MAX(IF(I53*I95&gt;0,I52,0),IF(I56*I96&gt;0,Assumptions!$Q$80,0),IF(I59*I97&gt;0,Assumptions!$Q$84,0),IF(I63*I98&gt;0,I61,0),IF(I66*I99&gt;0,I65,0),IF(AND(Settings!$B$9="Yes",I68*I100&gt;0),6,0)))</f>
        <v/>
      </c>
      <c r="J117" s="40">
        <f>IF(J6=0,"",MAX(IF(J53*J95&gt;0,J52,0),IF(J56*J96&gt;0,Assumptions!$Q$80,0),IF(J59*J97&gt;0,Assumptions!$Q$84,0),IF(J63*J98&gt;0,J61,0),IF(J66*J99&gt;0,J65,0),IF(AND(Settings!$B$9="Yes",J68*J100&gt;0),6,0)))</f>
        <v/>
      </c>
      <c r="K117" s="40">
        <f>IF(K6=0,"",MAX(IF(K53*K95&gt;0,K52,0),IF(K56*K96&gt;0,Assumptions!$Q$80,0),IF(K59*K97&gt;0,Assumptions!$Q$84,0),IF(K63*K98&gt;0,K61,0),IF(K66*K99&gt;0,K65,0),IF(AND(Settings!$B$9="Yes",K68*K100&gt;0),6,0)))</f>
        <v/>
      </c>
      <c r="L117" s="40">
        <f>IF(L6=0,"",MAX(IF(L53*L95&gt;0,L52,0),IF(L56*L96&gt;0,Assumptions!$Q$80,0),IF(L59*L97&gt;0,Assumptions!$Q$84,0),IF(L63*L98&gt;0,L61,0),IF(L66*L99&gt;0,L65,0),IF(AND(Settings!$B$9="Yes",L68*L100&gt;0),6,0)))</f>
        <v/>
      </c>
      <c r="M117" s="40">
        <f>IF(M6=0,"",MAX(IF(M53*M95&gt;0,M52,0),IF(M56*M96&gt;0,Assumptions!$Q$80,0),IF(M59*M97&gt;0,Assumptions!$Q$84,0),IF(M63*M98&gt;0,M61,0),IF(M66*M99&gt;0,M65,0),IF(AND(Settings!$B$9="Yes",M68*M100&gt;0),6,0)))</f>
        <v/>
      </c>
      <c r="N117" s="40">
        <f>IF(N6=0,"",MAX(IF(N53*N95&gt;0,N52,0),IF(N56*N96&gt;0,Assumptions!$Q$80,0),IF(N59*N97&gt;0,Assumptions!$Q$84,0),IF(N63*N98&gt;0,N61,0),IF(N66*N99&gt;0,N65,0),IF(AND(Settings!$B$9="Yes",N68*N100&gt;0),6,0)))</f>
        <v/>
      </c>
      <c r="O117" s="40">
        <f>IF(O6=0,"",MAX(IF(O53*O95&gt;0,O52,0),IF(O56*O96&gt;0,Assumptions!$Q$80,0),IF(O59*O97&gt;0,Assumptions!$Q$84,0),IF(O63*O98&gt;0,O61,0),IF(O66*O99&gt;0,O65,0),IF(AND(Settings!$B$9="Yes",O68*O100&gt;0),6,0)))</f>
        <v/>
      </c>
      <c r="P117" s="40">
        <f>IF(P6=0,"",MAX(IF(P53*P95&gt;0,P52,0),IF(P56*P96&gt;0,Assumptions!$Q$80,0),IF(P59*P97&gt;0,Assumptions!$Q$84,0),IF(P63*P98&gt;0,P61,0),IF(P66*P99&gt;0,P65,0),IF(AND(Settings!$B$9="Yes",P68*P100&gt;0),6,0)))</f>
        <v/>
      </c>
      <c r="Q117" s="40">
        <f>IF(Q6=0,"",MAX(IF(Q53*Q95&gt;0,Q52,0),IF(Q56*Q96&gt;0,Assumptions!$Q$80,0),IF(Q59*Q97&gt;0,Assumptions!$Q$84,0),IF(Q63*Q98&gt;0,Q61,0),IF(Q66*Q99&gt;0,Q65,0),IF(AND(Settings!$B$9="Yes",Q68*Q100&gt;0),6,0)))</f>
        <v/>
      </c>
      <c r="R117" s="40">
        <f>IF(R6=0,"",MAX(IF(R53*R95&gt;0,R52,0),IF(R56*R96&gt;0,Assumptions!$Q$80,0),IF(R59*R97&gt;0,Assumptions!$Q$84,0),IF(R63*R98&gt;0,R61,0),IF(R66*R99&gt;0,R65,0),IF(AND(Settings!$B$9="Yes",R68*R100&gt;0),6,0)))</f>
        <v/>
      </c>
    </row>
    <row r="118">
      <c r="B118" s="4" t="inlineStr">
        <is>
          <t>Robustness (our rule: weakest grade 1-2 Robust, 3-4 Reasonable, 5-6 Limited)</t>
        </is>
      </c>
      <c r="C118" s="5" t="inlineStr"/>
      <c r="D118" s="39">
        <f>IF(D6=0,"",IF(D117=0,"Limited",IF(D117&lt;=2,"Robust",IF(D117&lt;=4,"Reasonable","Limited"))))</f>
        <v/>
      </c>
      <c r="E118" s="39">
        <f>IF(E6=0,"",IF(E117=0,"Limited",IF(E117&lt;=2,"Robust",IF(E117&lt;=4,"Reasonable","Limited"))))</f>
        <v/>
      </c>
      <c r="F118" s="39">
        <f>IF(F6=0,"",IF(F117=0,"Limited",IF(F117&lt;=2,"Robust",IF(F117&lt;=4,"Reasonable","Limited"))))</f>
        <v/>
      </c>
      <c r="G118" s="39">
        <f>IF(G6=0,"",IF(G117=0,"Limited",IF(G117&lt;=2,"Robust",IF(G117&lt;=4,"Reasonable","Limited"))))</f>
        <v/>
      </c>
      <c r="H118" s="39">
        <f>IF(H6=0,"",IF(H117=0,"Limited",IF(H117&lt;=2,"Robust",IF(H117&lt;=4,"Reasonable","Limited"))))</f>
        <v/>
      </c>
      <c r="I118" s="39">
        <f>IF(I6=0,"",IF(I117=0,"Limited",IF(I117&lt;=2,"Robust",IF(I117&lt;=4,"Reasonable","Limited"))))</f>
        <v/>
      </c>
      <c r="J118" s="39">
        <f>IF(J6=0,"",IF(J117=0,"Limited",IF(J117&lt;=2,"Robust",IF(J117&lt;=4,"Reasonable","Limited"))))</f>
        <v/>
      </c>
      <c r="K118" s="39">
        <f>IF(K6=0,"",IF(K117=0,"Limited",IF(K117&lt;=2,"Robust",IF(K117&lt;=4,"Reasonable","Limited"))))</f>
        <v/>
      </c>
      <c r="L118" s="39">
        <f>IF(L6=0,"",IF(L117=0,"Limited",IF(L117&lt;=2,"Robust",IF(L117&lt;=4,"Reasonable","Limited"))))</f>
        <v/>
      </c>
      <c r="M118" s="39">
        <f>IF(M6=0,"",IF(M117=0,"Limited",IF(M117&lt;=2,"Robust",IF(M117&lt;=4,"Reasonable","Limited"))))</f>
        <v/>
      </c>
      <c r="N118" s="39">
        <f>IF(N6=0,"",IF(N117=0,"Limited",IF(N117&lt;=2,"Robust",IF(N117&lt;=4,"Reasonable","Limited"))))</f>
        <v/>
      </c>
      <c r="O118" s="39">
        <f>IF(O6=0,"",IF(O117=0,"Limited",IF(O117&lt;=2,"Robust",IF(O117&lt;=4,"Reasonable","Limited"))))</f>
        <v/>
      </c>
      <c r="P118" s="39">
        <f>IF(P6=0,"",IF(P117=0,"Limited",IF(P117&lt;=2,"Robust",IF(P117&lt;=4,"Reasonable","Limited"))))</f>
        <v/>
      </c>
      <c r="Q118" s="39">
        <f>IF(Q6=0,"",IF(Q117=0,"Limited",IF(Q117&lt;=2,"Robust",IF(Q117&lt;=4,"Reasonable","Limited"))))</f>
        <v/>
      </c>
      <c r="R118" s="39">
        <f>IF(R6=0,"",IF(R117=0,"Limited",IF(R117&lt;=2,"Robust",IF(R117&lt;=4,"Reasonable","Limited"))))</f>
        <v/>
      </c>
    </row>
    <row r="119">
      <c r="B119" s="7" t="inlineStr">
        <is>
          <t>Gateshead indicators (outside the ratios)</t>
        </is>
      </c>
      <c r="D119" s="8" t="n"/>
      <c r="E119" s="8" t="n"/>
      <c r="F119" s="8" t="n"/>
      <c r="G119" s="8" t="n"/>
      <c r="H119" s="8" t="n"/>
      <c r="I119" s="8" t="n"/>
      <c r="J119" s="8" t="n"/>
      <c r="K119" s="8" t="n"/>
      <c r="L119" s="8" t="n"/>
      <c r="M119" s="8" t="n"/>
      <c r="N119" s="8" t="n"/>
      <c r="O119" s="8" t="n"/>
      <c r="P119" s="8" t="n"/>
      <c r="Q119" s="8" t="n"/>
      <c r="R119" s="8" t="n"/>
    </row>
    <row r="120">
      <c r="B120" s="4" t="inlineStr">
        <is>
          <t>Spend per visit</t>
        </is>
      </c>
      <c r="C120" s="5" t="inlineStr">
        <is>
          <t>£</t>
        </is>
      </c>
      <c r="D120" s="47">
        <f>IF(D6=0,"",IF('Static Data'!$B$5&lt;&gt;"",'Static Data'!$B$5*'Static Data'!$B$31/INDEX('Static Data'!$B$20:$B$31,MATCH('Static Data'!$C$5,'Static Data'!$A$20:$A$31,0)),Assumptions!$N$71))</f>
        <v/>
      </c>
      <c r="E120" s="47">
        <f>IF(E6=0,"",IF('Static Data'!$B$5&lt;&gt;"",'Static Data'!$B$5*'Static Data'!$B$31/INDEX('Static Data'!$B$20:$B$31,MATCH('Static Data'!$C$5,'Static Data'!$A$20:$A$31,0)),Assumptions!$O$71))</f>
        <v/>
      </c>
      <c r="F120" s="47">
        <f>IF(F6=0,"",IF('Static Data'!$B$5&lt;&gt;"",'Static Data'!$B$5*'Static Data'!$B$31/INDEX('Static Data'!$B$20:$B$31,MATCH('Static Data'!$C$5,'Static Data'!$A$20:$A$31,0)),Assumptions!$P$71))</f>
        <v/>
      </c>
      <c r="G120" s="47">
        <f>IF(G6=0,"",IF('Static Data'!$B$5&lt;&gt;"",'Static Data'!$B$5*'Static Data'!$B$31/INDEX('Static Data'!$B$20:$B$31,MATCH('Static Data'!$C$5,'Static Data'!$A$20:$A$31,0)),Assumptions!$N$71))</f>
        <v/>
      </c>
      <c r="H120" s="47">
        <f>IF(H6=0,"",IF('Static Data'!$B$5&lt;&gt;"",'Static Data'!$B$5*'Static Data'!$B$31/INDEX('Static Data'!$B$20:$B$31,MATCH('Static Data'!$C$5,'Static Data'!$A$20:$A$31,0)),Assumptions!$O$71))</f>
        <v/>
      </c>
      <c r="I120" s="47">
        <f>IF(I6=0,"",IF('Static Data'!$B$5&lt;&gt;"",'Static Data'!$B$5*'Static Data'!$B$31/INDEX('Static Data'!$B$20:$B$31,MATCH('Static Data'!$C$5,'Static Data'!$A$20:$A$31,0)),Assumptions!$P$71))</f>
        <v/>
      </c>
      <c r="J120" s="47">
        <f>IF(J6=0,"",IF('Static Data'!$B$5&lt;&gt;"",'Static Data'!$B$5*'Static Data'!$B$31/INDEX('Static Data'!$B$20:$B$31,MATCH('Static Data'!$C$5,'Static Data'!$A$20:$A$31,0)),Assumptions!$N$71))</f>
        <v/>
      </c>
      <c r="K120" s="47">
        <f>IF(K6=0,"",IF('Static Data'!$B$5&lt;&gt;"",'Static Data'!$B$5*'Static Data'!$B$31/INDEX('Static Data'!$B$20:$B$31,MATCH('Static Data'!$C$5,'Static Data'!$A$20:$A$31,0)),Assumptions!$O$71))</f>
        <v/>
      </c>
      <c r="L120" s="47">
        <f>IF(L6=0,"",IF('Static Data'!$B$5&lt;&gt;"",'Static Data'!$B$5*'Static Data'!$B$31/INDEX('Static Data'!$B$20:$B$31,MATCH('Static Data'!$C$5,'Static Data'!$A$20:$A$31,0)),Assumptions!$P$71))</f>
        <v/>
      </c>
      <c r="M120" s="47">
        <f>IF(M6=0,"",IF('Static Data'!$B$5&lt;&gt;"",'Static Data'!$B$5*'Static Data'!$B$31/INDEX('Static Data'!$B$20:$B$31,MATCH('Static Data'!$C$5,'Static Data'!$A$20:$A$31,0)),Assumptions!$N$71))</f>
        <v/>
      </c>
      <c r="N120" s="47">
        <f>IF(N6=0,"",IF('Static Data'!$B$5&lt;&gt;"",'Static Data'!$B$5*'Static Data'!$B$31/INDEX('Static Data'!$B$20:$B$31,MATCH('Static Data'!$C$5,'Static Data'!$A$20:$A$31,0)),Assumptions!$O$71))</f>
        <v/>
      </c>
      <c r="O120" s="47">
        <f>IF(O6=0,"",IF('Static Data'!$B$5&lt;&gt;"",'Static Data'!$B$5*'Static Data'!$B$31/INDEX('Static Data'!$B$20:$B$31,MATCH('Static Data'!$C$5,'Static Data'!$A$20:$A$31,0)),Assumptions!$P$71))</f>
        <v/>
      </c>
      <c r="P120" s="47">
        <f>IF(P6=0,"",IF('Static Data'!$B$5&lt;&gt;"",'Static Data'!$B$5*'Static Data'!$B$31/INDEX('Static Data'!$B$20:$B$31,MATCH('Static Data'!$C$5,'Static Data'!$A$20:$A$31,0)),Assumptions!$N$71))</f>
        <v/>
      </c>
      <c r="Q120" s="47">
        <f>IF(Q6=0,"",IF('Static Data'!$B$5&lt;&gt;"",'Static Data'!$B$5*'Static Data'!$B$31/INDEX('Static Data'!$B$20:$B$31,MATCH('Static Data'!$C$5,'Static Data'!$A$20:$A$31,0)),Assumptions!$O$71))</f>
        <v/>
      </c>
      <c r="R120" s="47">
        <f>IF(R6=0,"",IF('Static Data'!$B$5&lt;&gt;"",'Static Data'!$B$5*'Static Data'!$B$31/INDEX('Static Data'!$B$20:$B$31,MATCH('Static Data'!$C$5,'Static Data'!$A$20:$A$31,0)),Assumptions!$P$71))</f>
        <v/>
      </c>
    </row>
    <row r="121">
      <c r="B121" s="4" t="inlineStr">
        <is>
          <t>GVA share of that spend</t>
        </is>
      </c>
      <c r="C121" s="5" t="inlineStr">
        <is>
          <t>share</t>
        </is>
      </c>
      <c r="D121" s="43">
        <f>IF(D6=0,"",(1-N(Inputs!$C$46))*Assumptions!$N$72+N(Inputs!$C$46)*Assumptions!$N$73)</f>
        <v/>
      </c>
      <c r="E121" s="43">
        <f>IF(E6=0,"",(1-N(Inputs!$C$46))*Assumptions!$O$72+N(Inputs!$C$46)*Assumptions!$O$73)</f>
        <v/>
      </c>
      <c r="F121" s="43">
        <f>IF(F6=0,"",(1-N(Inputs!$C$46))*Assumptions!$P$72+N(Inputs!$C$46)*Assumptions!$P$73)</f>
        <v/>
      </c>
      <c r="G121" s="43">
        <f>IF(G6=0,"",(1-N(Inputs!$D$46))*Assumptions!$N$72+N(Inputs!$D$46)*Assumptions!$N$73)</f>
        <v/>
      </c>
      <c r="H121" s="43">
        <f>IF(H6=0,"",(1-N(Inputs!$D$46))*Assumptions!$O$72+N(Inputs!$D$46)*Assumptions!$O$73)</f>
        <v/>
      </c>
      <c r="I121" s="43">
        <f>IF(I6=0,"",(1-N(Inputs!$D$46))*Assumptions!$P$72+N(Inputs!$D$46)*Assumptions!$P$73)</f>
        <v/>
      </c>
      <c r="J121" s="43">
        <f>IF(J6=0,"",(1-N(Inputs!$E$46))*Assumptions!$N$72+N(Inputs!$E$46)*Assumptions!$N$73)</f>
        <v/>
      </c>
      <c r="K121" s="43">
        <f>IF(K6=0,"",(1-N(Inputs!$E$46))*Assumptions!$O$72+N(Inputs!$E$46)*Assumptions!$O$73)</f>
        <v/>
      </c>
      <c r="L121" s="43">
        <f>IF(L6=0,"",(1-N(Inputs!$E$46))*Assumptions!$P$72+N(Inputs!$E$46)*Assumptions!$P$73)</f>
        <v/>
      </c>
      <c r="M121" s="43">
        <f>IF(M6=0,"",(1-N(Inputs!$F$46))*Assumptions!$N$72+N(Inputs!$F$46)*Assumptions!$N$73)</f>
        <v/>
      </c>
      <c r="N121" s="43">
        <f>IF(N6=0,"",(1-N(Inputs!$F$46))*Assumptions!$O$72+N(Inputs!$F$46)*Assumptions!$O$73)</f>
        <v/>
      </c>
      <c r="O121" s="43">
        <f>IF(O6=0,"",(1-N(Inputs!$F$46))*Assumptions!$P$72+N(Inputs!$F$46)*Assumptions!$P$73)</f>
        <v/>
      </c>
      <c r="P121" s="43">
        <f>IF(P6=0,"",(1-N(Inputs!$G$46))*Assumptions!$N$72+N(Inputs!$G$46)*Assumptions!$N$73)</f>
        <v/>
      </c>
      <c r="Q121" s="43">
        <f>IF(Q6=0,"",(1-N(Inputs!$G$46))*Assumptions!$O$72+N(Inputs!$G$46)*Assumptions!$O$73)</f>
        <v/>
      </c>
      <c r="R121" s="43">
        <f>IF(R6=0,"",(1-N(Inputs!$G$46))*Assumptions!$P$72+N(Inputs!$G$46)*Assumptions!$P$73)</f>
        <v/>
      </c>
    </row>
    <row r="122">
      <c r="B122" s="4" t="inlineStr">
        <is>
          <t>Share of visits that are new trips</t>
        </is>
      </c>
      <c r="C122" s="5" t="inlineStr">
        <is>
          <t>share</t>
        </is>
      </c>
      <c r="D122" s="43">
        <f>IF(D6=0,"",IF(Inputs!$C$47&lt;&gt;"",Inputs!$C$47,Assumptions!$N$74/100))</f>
        <v/>
      </c>
      <c r="E122" s="43">
        <f>IF(E6=0,"",IF(Inputs!$C$47&lt;&gt;"",Inputs!$C$47,Assumptions!$O$74/100))</f>
        <v/>
      </c>
      <c r="F122" s="43">
        <f>IF(F6=0,"",IF(Inputs!$C$47&lt;&gt;"",Inputs!$C$47,Assumptions!$P$74/100))</f>
        <v/>
      </c>
      <c r="G122" s="43">
        <f>IF(G6=0,"",IF(Inputs!$D$47&lt;&gt;"",Inputs!$D$47,Assumptions!$N$74/100))</f>
        <v/>
      </c>
      <c r="H122" s="43">
        <f>IF(H6=0,"",IF(Inputs!$D$47&lt;&gt;"",Inputs!$D$47,Assumptions!$O$74/100))</f>
        <v/>
      </c>
      <c r="I122" s="43">
        <f>IF(I6=0,"",IF(Inputs!$D$47&lt;&gt;"",Inputs!$D$47,Assumptions!$P$74/100))</f>
        <v/>
      </c>
      <c r="J122" s="43">
        <f>IF(J6=0,"",IF(Inputs!$E$47&lt;&gt;"",Inputs!$E$47,Assumptions!$N$74/100))</f>
        <v/>
      </c>
      <c r="K122" s="43">
        <f>IF(K6=0,"",IF(Inputs!$E$47&lt;&gt;"",Inputs!$E$47,Assumptions!$O$74/100))</f>
        <v/>
      </c>
      <c r="L122" s="43">
        <f>IF(L6=0,"",IF(Inputs!$E$47&lt;&gt;"",Inputs!$E$47,Assumptions!$P$74/100))</f>
        <v/>
      </c>
      <c r="M122" s="43">
        <f>IF(M6=0,"",IF(Inputs!$F$47&lt;&gt;"",Inputs!$F$47,Assumptions!$N$74/100))</f>
        <v/>
      </c>
      <c r="N122" s="43">
        <f>IF(N6=0,"",IF(Inputs!$F$47&lt;&gt;"",Inputs!$F$47,Assumptions!$O$74/100))</f>
        <v/>
      </c>
      <c r="O122" s="43">
        <f>IF(O6=0,"",IF(Inputs!$F$47&lt;&gt;"",Inputs!$F$47,Assumptions!$P$74/100))</f>
        <v/>
      </c>
      <c r="P122" s="43">
        <f>IF(P6=0,"",IF(Inputs!$G$47&lt;&gt;"",Inputs!$G$47,Assumptions!$N$74/100))</f>
        <v/>
      </c>
      <c r="Q122" s="43">
        <f>IF(Q6=0,"",IF(Inputs!$G$47&lt;&gt;"",Inputs!$G$47,Assumptions!$O$74/100))</f>
        <v/>
      </c>
      <c r="R122" s="43">
        <f>IF(R6=0,"",IF(Inputs!$G$47&lt;&gt;"",Inputs!$G$47,Assumptions!$P$74/100))</f>
        <v/>
      </c>
    </row>
    <row r="123">
      <c r="B123" s="4" t="inlineStr">
        <is>
          <t>Grade</t>
        </is>
      </c>
      <c r="C123" s="5" t="inlineStr"/>
      <c r="D123" s="40">
        <f>IF(D6=0,"",MAX(IF('Static Data'!$B$5&lt;&gt;"",3,Assumptions!$Q$71),Assumptions!$Q$72,Assumptions!$Q$73,IF(Inputs!$C$47&lt;&gt;"",2,Assumptions!$Q$74),Assumptions!$Q$75))</f>
        <v/>
      </c>
      <c r="E123" s="40">
        <f>IF(E6=0,"",MAX(IF('Static Data'!$B$5&lt;&gt;"",3,Assumptions!$Q$71),Assumptions!$Q$72,Assumptions!$Q$73,IF(Inputs!$C$47&lt;&gt;"",2,Assumptions!$Q$74),Assumptions!$Q$75))</f>
        <v/>
      </c>
      <c r="F123" s="40">
        <f>IF(F6=0,"",MAX(IF('Static Data'!$B$5&lt;&gt;"",3,Assumptions!$Q$71),Assumptions!$Q$72,Assumptions!$Q$73,IF(Inputs!$C$47&lt;&gt;"",2,Assumptions!$Q$74),Assumptions!$Q$75))</f>
        <v/>
      </c>
      <c r="G123" s="40">
        <f>IF(G6=0,"",MAX(IF('Static Data'!$B$5&lt;&gt;"",3,Assumptions!$Q$71),Assumptions!$Q$72,Assumptions!$Q$73,IF(Inputs!$D$47&lt;&gt;"",2,Assumptions!$Q$74),Assumptions!$Q$75))</f>
        <v/>
      </c>
      <c r="H123" s="40">
        <f>IF(H6=0,"",MAX(IF('Static Data'!$B$5&lt;&gt;"",3,Assumptions!$Q$71),Assumptions!$Q$72,Assumptions!$Q$73,IF(Inputs!$D$47&lt;&gt;"",2,Assumptions!$Q$74),Assumptions!$Q$75))</f>
        <v/>
      </c>
      <c r="I123" s="40">
        <f>IF(I6=0,"",MAX(IF('Static Data'!$B$5&lt;&gt;"",3,Assumptions!$Q$71),Assumptions!$Q$72,Assumptions!$Q$73,IF(Inputs!$D$47&lt;&gt;"",2,Assumptions!$Q$74),Assumptions!$Q$75))</f>
        <v/>
      </c>
      <c r="J123" s="40">
        <f>IF(J6=0,"",MAX(IF('Static Data'!$B$5&lt;&gt;"",3,Assumptions!$Q$71),Assumptions!$Q$72,Assumptions!$Q$73,IF(Inputs!$E$47&lt;&gt;"",2,Assumptions!$Q$74),Assumptions!$Q$75))</f>
        <v/>
      </c>
      <c r="K123" s="40">
        <f>IF(K6=0,"",MAX(IF('Static Data'!$B$5&lt;&gt;"",3,Assumptions!$Q$71),Assumptions!$Q$72,Assumptions!$Q$73,IF(Inputs!$E$47&lt;&gt;"",2,Assumptions!$Q$74),Assumptions!$Q$75))</f>
        <v/>
      </c>
      <c r="L123" s="40">
        <f>IF(L6=0,"",MAX(IF('Static Data'!$B$5&lt;&gt;"",3,Assumptions!$Q$71),Assumptions!$Q$72,Assumptions!$Q$73,IF(Inputs!$E$47&lt;&gt;"",2,Assumptions!$Q$74),Assumptions!$Q$75))</f>
        <v/>
      </c>
      <c r="M123" s="40">
        <f>IF(M6=0,"",MAX(IF('Static Data'!$B$5&lt;&gt;"",3,Assumptions!$Q$71),Assumptions!$Q$72,Assumptions!$Q$73,IF(Inputs!$F$47&lt;&gt;"",2,Assumptions!$Q$74),Assumptions!$Q$75))</f>
        <v/>
      </c>
      <c r="N123" s="40">
        <f>IF(N6=0,"",MAX(IF('Static Data'!$B$5&lt;&gt;"",3,Assumptions!$Q$71),Assumptions!$Q$72,Assumptions!$Q$73,IF(Inputs!$F$47&lt;&gt;"",2,Assumptions!$Q$74),Assumptions!$Q$75))</f>
        <v/>
      </c>
      <c r="O123" s="40">
        <f>IF(O6=0,"",MAX(IF('Static Data'!$B$5&lt;&gt;"",3,Assumptions!$Q$71),Assumptions!$Q$72,Assumptions!$Q$73,IF(Inputs!$F$47&lt;&gt;"",2,Assumptions!$Q$74),Assumptions!$Q$75))</f>
        <v/>
      </c>
      <c r="P123" s="40">
        <f>IF(P6=0,"",MAX(IF('Static Data'!$B$5&lt;&gt;"",3,Assumptions!$Q$71),Assumptions!$Q$72,Assumptions!$Q$73,IF(Inputs!$G$47&lt;&gt;"",2,Assumptions!$Q$74),Assumptions!$Q$75))</f>
        <v/>
      </c>
      <c r="Q123" s="40">
        <f>IF(Q6=0,"",MAX(IF('Static Data'!$B$5&lt;&gt;"",3,Assumptions!$Q$71),Assumptions!$Q$72,Assumptions!$Q$73,IF(Inputs!$G$47&lt;&gt;"",2,Assumptions!$Q$74),Assumptions!$Q$75))</f>
        <v/>
      </c>
      <c r="R123" s="40">
        <f>IF(R6=0,"",MAX(IF('Static Data'!$B$5&lt;&gt;"",3,Assumptions!$Q$71),Assumptions!$Q$72,Assumptions!$Q$73,IF(Inputs!$G$47&lt;&gt;"",2,Assumptions!$Q$74),Assumptions!$Q$75))</f>
        <v/>
      </c>
    </row>
    <row r="124">
      <c r="B124" s="4" t="inlineStr">
        <is>
          <t>GVA from extra visitor spend in the centre, present value</t>
        </is>
      </c>
      <c r="C124" s="5" t="inlineStr">
        <is>
          <t>£</t>
        </is>
      </c>
      <c r="D124" s="45">
        <f>IF(D6=0,"",N(Inputs!$C$45)*52*D122*D120/Assumptions!$O$77*D121*(1-Assumptions!$N$75/100)*(1-CHOOSE(D123,0,0.05,0.1,0.15,0.25,0.4))*D14*D25)</f>
        <v/>
      </c>
      <c r="E124" s="45">
        <f>IF(E6=0,"",N(Inputs!$C$45)*52*E122*E120/Assumptions!$O$77*E121*(1-Assumptions!$O$75/100)*(1-CHOOSE(E123,0,0.05,0.1,0.15,0.25,0.4))*E14*E25)</f>
        <v/>
      </c>
      <c r="F124" s="45">
        <f>IF(F6=0,"",N(Inputs!$C$45)*52*F122*F120/Assumptions!$O$77*F121*(1-Assumptions!$P$75/100)*(1-CHOOSE(F123,0,0.05,0.1,0.15,0.25,0.4))*F14*F25)</f>
        <v/>
      </c>
      <c r="G124" s="45">
        <f>IF(G6=0,"",N(Inputs!$D$45)*52*G122*G120/Assumptions!$O$77*G121*(1-Assumptions!$N$75/100)*(1-CHOOSE(G123,0,0.05,0.1,0.15,0.25,0.4))*G14*G25)</f>
        <v/>
      </c>
      <c r="H124" s="45">
        <f>IF(H6=0,"",N(Inputs!$D$45)*52*H122*H120/Assumptions!$O$77*H121*(1-Assumptions!$O$75/100)*(1-CHOOSE(H123,0,0.05,0.1,0.15,0.25,0.4))*H14*H25)</f>
        <v/>
      </c>
      <c r="I124" s="45">
        <f>IF(I6=0,"",N(Inputs!$D$45)*52*I122*I120/Assumptions!$O$77*I121*(1-Assumptions!$P$75/100)*(1-CHOOSE(I123,0,0.05,0.1,0.15,0.25,0.4))*I14*I25)</f>
        <v/>
      </c>
      <c r="J124" s="45">
        <f>IF(J6=0,"",N(Inputs!$E$45)*52*J122*J120/Assumptions!$O$77*J121*(1-Assumptions!$N$75/100)*(1-CHOOSE(J123,0,0.05,0.1,0.15,0.25,0.4))*J14*J25)</f>
        <v/>
      </c>
      <c r="K124" s="45">
        <f>IF(K6=0,"",N(Inputs!$E$45)*52*K122*K120/Assumptions!$O$77*K121*(1-Assumptions!$O$75/100)*(1-CHOOSE(K123,0,0.05,0.1,0.15,0.25,0.4))*K14*K25)</f>
        <v/>
      </c>
      <c r="L124" s="45">
        <f>IF(L6=0,"",N(Inputs!$E$45)*52*L122*L120/Assumptions!$O$77*L121*(1-Assumptions!$P$75/100)*(1-CHOOSE(L123,0,0.05,0.1,0.15,0.25,0.4))*L14*L25)</f>
        <v/>
      </c>
      <c r="M124" s="45">
        <f>IF(M6=0,"",N(Inputs!$F$45)*52*M122*M120/Assumptions!$O$77*M121*(1-Assumptions!$N$75/100)*(1-CHOOSE(M123,0,0.05,0.1,0.15,0.25,0.4))*M14*M25)</f>
        <v/>
      </c>
      <c r="N124" s="45">
        <f>IF(N6=0,"",N(Inputs!$F$45)*52*N122*N120/Assumptions!$O$77*N121*(1-Assumptions!$O$75/100)*(1-CHOOSE(N123,0,0.05,0.1,0.15,0.25,0.4))*N14*N25)</f>
        <v/>
      </c>
      <c r="O124" s="45">
        <f>IF(O6=0,"",N(Inputs!$F$45)*52*O122*O120/Assumptions!$O$77*O121*(1-Assumptions!$P$75/100)*(1-CHOOSE(O123,0,0.05,0.1,0.15,0.25,0.4))*O14*O25)</f>
        <v/>
      </c>
      <c r="P124" s="45">
        <f>IF(P6=0,"",N(Inputs!$G$45)*52*P122*P120/Assumptions!$O$77*P121*(1-Assumptions!$N$75/100)*(1-CHOOSE(P123,0,0.05,0.1,0.15,0.25,0.4))*P14*P25)</f>
        <v/>
      </c>
      <c r="Q124" s="45">
        <f>IF(Q6=0,"",N(Inputs!$G$45)*52*Q122*Q120/Assumptions!$O$77*Q121*(1-Assumptions!$O$75/100)*(1-CHOOSE(Q123,0,0.05,0.1,0.15,0.25,0.4))*Q14*Q25)</f>
        <v/>
      </c>
      <c r="R124" s="45">
        <f>IF(R6=0,"",N(Inputs!$G$45)*52*R122*R120/Assumptions!$O$77*R121*(1-Assumptions!$P$75/100)*(1-CHOOSE(R123,0,0.05,0.1,0.15,0.25,0.4))*R14*R25)</f>
        <v/>
      </c>
    </row>
    <row r="125">
      <c r="B125" s="4" t="inlineStr">
        <is>
          <t>Start-ups expected to survive one year</t>
        </is>
      </c>
      <c r="C125" s="5" t="inlineStr">
        <is>
          <t>businesses</t>
        </is>
      </c>
      <c r="D125" s="44">
        <f>IF(D6=0,"",N(Inputs!$C$48)*Assumptions!$N$78/100)</f>
        <v/>
      </c>
      <c r="E125" s="44">
        <f>IF(E6=0,"",N(Inputs!$C$48)*Assumptions!$O$78/100)</f>
        <v/>
      </c>
      <c r="F125" s="44">
        <f>IF(F6=0,"",N(Inputs!$C$48)*Assumptions!$P$78/100)</f>
        <v/>
      </c>
      <c r="G125" s="44">
        <f>IF(G6=0,"",N(Inputs!$D$48)*Assumptions!$N$78/100)</f>
        <v/>
      </c>
      <c r="H125" s="44">
        <f>IF(H6=0,"",N(Inputs!$D$48)*Assumptions!$O$78/100)</f>
        <v/>
      </c>
      <c r="I125" s="44">
        <f>IF(I6=0,"",N(Inputs!$D$48)*Assumptions!$P$78/100)</f>
        <v/>
      </c>
      <c r="J125" s="44">
        <f>IF(J6=0,"",N(Inputs!$E$48)*Assumptions!$N$78/100)</f>
        <v/>
      </c>
      <c r="K125" s="44">
        <f>IF(K6=0,"",N(Inputs!$E$48)*Assumptions!$O$78/100)</f>
        <v/>
      </c>
      <c r="L125" s="44">
        <f>IF(L6=0,"",N(Inputs!$E$48)*Assumptions!$P$78/100)</f>
        <v/>
      </c>
      <c r="M125" s="44">
        <f>IF(M6=0,"",N(Inputs!$F$48)*Assumptions!$N$78/100)</f>
        <v/>
      </c>
      <c r="N125" s="44">
        <f>IF(N6=0,"",N(Inputs!$F$48)*Assumptions!$O$78/100)</f>
        <v/>
      </c>
      <c r="O125" s="44">
        <f>IF(O6=0,"",N(Inputs!$F$48)*Assumptions!$P$78/100)</f>
        <v/>
      </c>
      <c r="P125" s="44">
        <f>IF(P6=0,"",N(Inputs!$G$48)*Assumptions!$N$78/100)</f>
        <v/>
      </c>
      <c r="Q125" s="44">
        <f>IF(Q6=0,"",N(Inputs!$G$48)*Assumptions!$O$78/100)</f>
        <v/>
      </c>
      <c r="R125" s="44">
        <f>IF(R6=0,"",N(Inputs!$G$48)*Assumptions!$P$78/100)</f>
        <v/>
      </c>
    </row>
    <row r="126">
      <c r="B126" s="4" t="inlineStr">
        <is>
          <t>Start-ups expected to survive three years</t>
        </is>
      </c>
      <c r="C126" s="5" t="inlineStr">
        <is>
          <t>businesses</t>
        </is>
      </c>
      <c r="D126" s="44">
        <f>IF(D6=0,"",N(Inputs!$C$48)*Assumptions!$N$79/100)</f>
        <v/>
      </c>
      <c r="E126" s="44">
        <f>IF(E6=0,"",N(Inputs!$C$48)*Assumptions!$O$79/100)</f>
        <v/>
      </c>
      <c r="F126" s="44">
        <f>IF(F6=0,"",N(Inputs!$C$48)*Assumptions!$P$79/100)</f>
        <v/>
      </c>
      <c r="G126" s="44">
        <f>IF(G6=0,"",N(Inputs!$D$48)*Assumptions!$N$79/100)</f>
        <v/>
      </c>
      <c r="H126" s="44">
        <f>IF(H6=0,"",N(Inputs!$D$48)*Assumptions!$O$79/100)</f>
        <v/>
      </c>
      <c r="I126" s="44">
        <f>IF(I6=0,"",N(Inputs!$D$48)*Assumptions!$P$79/100)</f>
        <v/>
      </c>
      <c r="J126" s="44">
        <f>IF(J6=0,"",N(Inputs!$E$48)*Assumptions!$N$79/100)</f>
        <v/>
      </c>
      <c r="K126" s="44">
        <f>IF(K6=0,"",N(Inputs!$E$48)*Assumptions!$O$79/100)</f>
        <v/>
      </c>
      <c r="L126" s="44">
        <f>IF(L6=0,"",N(Inputs!$E$48)*Assumptions!$P$79/100)</f>
        <v/>
      </c>
      <c r="M126" s="44">
        <f>IF(M6=0,"",N(Inputs!$F$48)*Assumptions!$N$79/100)</f>
        <v/>
      </c>
      <c r="N126" s="44">
        <f>IF(N6=0,"",N(Inputs!$F$48)*Assumptions!$O$79/100)</f>
        <v/>
      </c>
      <c r="O126" s="44">
        <f>IF(O6=0,"",N(Inputs!$F$48)*Assumptions!$P$79/100)</f>
        <v/>
      </c>
      <c r="P126" s="44">
        <f>IF(P6=0,"",N(Inputs!$G$48)*Assumptions!$N$79/100)</f>
        <v/>
      </c>
      <c r="Q126" s="44">
        <f>IF(Q6=0,"",N(Inputs!$G$48)*Assumptions!$O$79/100)</f>
        <v/>
      </c>
      <c r="R126" s="44">
        <f>IF(R6=0,"",N(Inputs!$G$48)*Assumptions!$P$79/100)</f>
        <v/>
      </c>
    </row>
    <row r="127">
      <c r="B127" s="4" t="inlineStr">
        <is>
          <t>Value of accredited qualifications (sensitivity only)</t>
        </is>
      </c>
      <c r="C127" s="5" t="inlineStr">
        <is>
          <t>£</t>
        </is>
      </c>
      <c r="D127" s="45">
        <f>IF(D6=0,"",(N(Inputs!$C$51)*Assumptions!$O$89+N(Inputs!$C$52)*Assumptions!$O$90)*D14)</f>
        <v/>
      </c>
      <c r="E127" s="45">
        <f>IF(E6=0,"",(N(Inputs!$C$51)*Assumptions!$O$89+N(Inputs!$C$52)*Assumptions!$O$90)*E14)</f>
        <v/>
      </c>
      <c r="F127" s="45">
        <f>IF(F6=0,"",(N(Inputs!$C$51)*Assumptions!$O$89+N(Inputs!$C$52)*Assumptions!$O$90)*F14)</f>
        <v/>
      </c>
      <c r="G127" s="45">
        <f>IF(G6=0,"",(N(Inputs!$D$51)*Assumptions!$O$89+N(Inputs!$D$52)*Assumptions!$O$90)*G14)</f>
        <v/>
      </c>
      <c r="H127" s="45">
        <f>IF(H6=0,"",(N(Inputs!$D$51)*Assumptions!$O$89+N(Inputs!$D$52)*Assumptions!$O$90)*H14)</f>
        <v/>
      </c>
      <c r="I127" s="45">
        <f>IF(I6=0,"",(N(Inputs!$D$51)*Assumptions!$O$89+N(Inputs!$D$52)*Assumptions!$O$90)*I14)</f>
        <v/>
      </c>
      <c r="J127" s="45">
        <f>IF(J6=0,"",(N(Inputs!$E$51)*Assumptions!$O$89+N(Inputs!$E$52)*Assumptions!$O$90)*J14)</f>
        <v/>
      </c>
      <c r="K127" s="45">
        <f>IF(K6=0,"",(N(Inputs!$E$51)*Assumptions!$O$89+N(Inputs!$E$52)*Assumptions!$O$90)*K14)</f>
        <v/>
      </c>
      <c r="L127" s="45">
        <f>IF(L6=0,"",(N(Inputs!$E$51)*Assumptions!$O$89+N(Inputs!$E$52)*Assumptions!$O$90)*L14)</f>
        <v/>
      </c>
      <c r="M127" s="45">
        <f>IF(M6=0,"",(N(Inputs!$F$51)*Assumptions!$O$89+N(Inputs!$F$52)*Assumptions!$O$90)*M14)</f>
        <v/>
      </c>
      <c r="N127" s="45">
        <f>IF(N6=0,"",(N(Inputs!$F$51)*Assumptions!$O$89+N(Inputs!$F$52)*Assumptions!$O$90)*N14)</f>
        <v/>
      </c>
      <c r="O127" s="45">
        <f>IF(O6=0,"",(N(Inputs!$F$51)*Assumptions!$O$89+N(Inputs!$F$52)*Assumptions!$O$90)*O14)</f>
        <v/>
      </c>
      <c r="P127" s="45">
        <f>IF(P6=0,"",(N(Inputs!$G$51)*Assumptions!$O$89+N(Inputs!$G$52)*Assumptions!$O$90)*P14)</f>
        <v/>
      </c>
      <c r="Q127" s="45">
        <f>IF(Q6=0,"",(N(Inputs!$G$51)*Assumptions!$O$89+N(Inputs!$G$52)*Assumptions!$O$90)*Q14)</f>
        <v/>
      </c>
      <c r="R127" s="45">
        <f>IF(R6=0,"",(N(Inputs!$G$51)*Assumptions!$O$89+N(Inputs!$G$52)*Assumptions!$O$90)*R14)</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E29"/>
  <sheetViews>
    <sheetView showGridLines="0"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8"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s>
  <sheetData>
    <row r="1">
      <c r="A1" s="1" t="inlineStr">
        <is>
          <t>Lookups</t>
        </is>
      </c>
    </row>
    <row r="2">
      <c r="A2" s="5" t="inlineStr">
        <is>
          <t>Drop-down lists and the per-use table the calculations read. Do not edit; it follows the Assumptions sheet.</t>
        </is>
      </c>
    </row>
    <row r="4">
      <c r="A4" s="6" t="inlineStr">
        <is>
          <t>Uses</t>
        </is>
      </c>
      <c r="B4" s="6" t="inlineStr">
        <is>
          <t>Centres</t>
        </is>
      </c>
      <c r="C4" s="6" t="inlineStr">
        <is>
          <t>YesNo</t>
        </is>
      </c>
      <c r="D4" s="6" t="inlineStr">
        <is>
          <t>Owner</t>
        </is>
      </c>
      <c r="E4" s="6" t="inlineStr">
        <is>
          <t>AreaUnit</t>
        </is>
      </c>
      <c r="F4" s="6" t="inlineStr">
        <is>
          <t>Occupier</t>
        </is>
      </c>
      <c r="G4" s="6" t="inlineStr">
        <is>
          <t>Group</t>
        </is>
      </c>
      <c r="H4" s="6" t="inlineStr">
        <is>
          <t>Scale</t>
        </is>
      </c>
      <c r="I4" s="6" t="inlineStr">
        <is>
          <t>Grades</t>
        </is>
      </c>
      <c r="J4" s="6" t="inlineStr">
        <is>
          <t>CostGrade</t>
        </is>
      </c>
      <c r="K4" s="6" t="inlineStr">
        <is>
          <t>Group value</t>
        </is>
      </c>
      <c r="L4" s="6" t="inlineStr">
        <is>
          <t>Centre tier</t>
        </is>
      </c>
      <c r="N4" s="6" t="inlineStr">
        <is>
          <t>Use</t>
        </is>
      </c>
      <c r="O4" s="6" t="inlineStr">
        <is>
          <t>Density low</t>
        </is>
      </c>
      <c r="P4" s="6" t="inlineStr">
        <is>
          <t>Density central</t>
        </is>
      </c>
      <c r="Q4" s="6" t="inlineStr">
        <is>
          <t>Density high</t>
        </is>
      </c>
      <c r="R4" s="6" t="inlineStr">
        <is>
          <t>Density grade</t>
        </is>
      </c>
      <c r="S4" s="6" t="inlineStr">
        <is>
          <t>NIA basis</t>
        </is>
      </c>
      <c r="T4" s="6" t="inlineStr">
        <is>
          <t>ONS FTE per unit</t>
        </is>
      </c>
      <c r="U4" s="6" t="inlineStr">
        <is>
          <t>ONS grade</t>
        </is>
      </c>
      <c r="V4" s="6" t="inlineStr">
        <is>
          <t>GVA low</t>
        </is>
      </c>
      <c r="W4" s="6" t="inlineStr">
        <is>
          <t>GVA central</t>
        </is>
      </c>
      <c r="X4" s="6" t="inlineStr">
        <is>
          <t>GVA high</t>
        </is>
      </c>
      <c r="Y4" s="6" t="inlineStr">
        <is>
          <t>GVA grade</t>
        </is>
      </c>
      <c r="Z4" s="6" t="inlineStr">
        <is>
          <t>Disp low</t>
        </is>
      </c>
      <c r="AA4" s="6" t="inlineStr">
        <is>
          <t>Disp central</t>
        </is>
      </c>
      <c r="AB4" s="6" t="inlineStr">
        <is>
          <t>Disp high</t>
        </is>
      </c>
      <c r="AC4" s="6" t="inlineStr">
        <is>
          <t>NEMSA disp low</t>
        </is>
      </c>
      <c r="AD4" s="6" t="inlineStr">
        <is>
          <t>NEMSA disp central</t>
        </is>
      </c>
      <c r="AE4" s="6" t="inlineStr">
        <is>
          <t>NEMSA disp high</t>
        </is>
      </c>
    </row>
    <row r="5">
      <c r="A5" s="13" t="inlineStr">
        <is>
          <t>Pop-up retail</t>
        </is>
      </c>
      <c r="B5" s="13" t="inlineStr">
        <is>
          <t>Gateshead Primary Shopping Area</t>
        </is>
      </c>
      <c r="C5" s="13" t="inlineStr">
        <is>
          <t>Yes</t>
        </is>
      </c>
      <c r="D5" s="13" t="inlineStr">
        <is>
          <t>Private</t>
        </is>
      </c>
      <c r="E5" s="13" t="inlineStr">
        <is>
          <t>sq ft</t>
        </is>
      </c>
      <c r="F5" s="13" t="inlineStr">
        <is>
          <t>Charity</t>
        </is>
      </c>
      <c r="G5" s="13" t="inlineStr">
        <is>
          <t>Adults 30-49, weekly cultural attendance</t>
        </is>
      </c>
      <c r="H5" s="13" t="inlineStr">
        <is>
          <t>Large Beneficial</t>
        </is>
      </c>
      <c r="I5" s="13" t="n">
        <v>1</v>
      </c>
      <c r="J5" s="13" t="inlineStr">
        <is>
          <t>1 Audited, current</t>
        </is>
      </c>
      <c r="K5" s="20">
        <f>Assumptions!$O$84/595*595</f>
        <v/>
      </c>
      <c r="L5" s="13" t="inlineStr">
        <is>
          <t>Gateshead Primary Shopping Area</t>
        </is>
      </c>
      <c r="N5" t="inlineStr">
        <is>
          <t>Pop-up retail</t>
        </is>
      </c>
      <c r="O5">
        <f>Assumptions!$N$35</f>
        <v/>
      </c>
      <c r="P5">
        <f>Assumptions!$O$35</f>
        <v/>
      </c>
      <c r="Q5">
        <f>Assumptions!$P$35</f>
        <v/>
      </c>
      <c r="R5">
        <f>Assumptions!$Q$35</f>
        <v/>
      </c>
      <c r="S5" t="n">
        <v>1</v>
      </c>
      <c r="T5">
        <f>Assumptions!$O$46</f>
        <v/>
      </c>
      <c r="U5">
        <f>Assumptions!$Q$46</f>
        <v/>
      </c>
      <c r="V5">
        <f>Assumptions!$N$60</f>
        <v/>
      </c>
      <c r="W5">
        <f>Assumptions!$O$60</f>
        <v/>
      </c>
      <c r="X5">
        <f>Assumptions!$P$60</f>
        <v/>
      </c>
      <c r="Y5">
        <f>Assumptions!$Q$60</f>
        <v/>
      </c>
      <c r="Z5">
        <f>Assumptions!$N$54</f>
        <v/>
      </c>
      <c r="AA5">
        <f>Assumptions!$O$54</f>
        <v/>
      </c>
      <c r="AB5">
        <f>Assumptions!$P$54</f>
        <v/>
      </c>
      <c r="AC5">
        <f>Assumptions!$N$68</f>
        <v/>
      </c>
      <c r="AD5">
        <f>Assumptions!$O$68</f>
        <v/>
      </c>
      <c r="AE5">
        <f>Assumptions!$P$68</f>
        <v/>
      </c>
    </row>
    <row r="6">
      <c r="A6" s="13" t="inlineStr">
        <is>
          <t>Food and drink</t>
        </is>
      </c>
      <c r="B6" s="13" t="inlineStr">
        <is>
          <t>Blaydon</t>
        </is>
      </c>
      <c r="C6" s="13" t="inlineStr">
        <is>
          <t>No</t>
        </is>
      </c>
      <c r="D6" s="13" t="inlineStr">
        <is>
          <t>Council</t>
        </is>
      </c>
      <c r="E6" s="13" t="inlineStr">
        <is>
          <t>m2</t>
        </is>
      </c>
      <c r="F6" s="13" t="inlineStr">
        <is>
          <t>Small business (only property)</t>
        </is>
      </c>
      <c r="G6" s="13" t="inlineStr">
        <is>
          <t>Young adults 18-29, weekly organised arts</t>
        </is>
      </c>
      <c r="H6" s="13" t="inlineStr">
        <is>
          <t>Moderate Beneficial</t>
        </is>
      </c>
      <c r="I6" s="13" t="n">
        <v>2</v>
      </c>
      <c r="J6" s="13" t="inlineStr">
        <is>
          <t>2 Formal contract</t>
        </is>
      </c>
      <c r="K6" s="20">
        <f>Assumptions!$O$84/595*706</f>
        <v/>
      </c>
      <c r="L6" s="13" t="inlineStr">
        <is>
          <t>District Centre</t>
        </is>
      </c>
      <c r="N6" t="inlineStr">
        <is>
          <t>Food and drink</t>
        </is>
      </c>
      <c r="O6">
        <f>Assumptions!$N$36</f>
        <v/>
      </c>
      <c r="P6">
        <f>Assumptions!$O$36</f>
        <v/>
      </c>
      <c r="Q6">
        <f>Assumptions!$P$36</f>
        <v/>
      </c>
      <c r="R6">
        <f>Assumptions!$Q$36</f>
        <v/>
      </c>
      <c r="S6" t="n">
        <v>1</v>
      </c>
      <c r="T6">
        <f>Assumptions!$O$47</f>
        <v/>
      </c>
      <c r="U6">
        <f>Assumptions!$Q$47</f>
        <v/>
      </c>
      <c r="V6">
        <f>Assumptions!$N$61</f>
        <v/>
      </c>
      <c r="W6">
        <f>Assumptions!$O$61</f>
        <v/>
      </c>
      <c r="X6">
        <f>Assumptions!$P$61</f>
        <v/>
      </c>
      <c r="Y6">
        <f>Assumptions!$Q$61</f>
        <v/>
      </c>
      <c r="Z6">
        <f>Assumptions!$N$54</f>
        <v/>
      </c>
      <c r="AA6">
        <f>Assumptions!$O$54</f>
        <v/>
      </c>
      <c r="AB6">
        <f>Assumptions!$P$54</f>
        <v/>
      </c>
      <c r="AC6">
        <f>Assumptions!$N$68</f>
        <v/>
      </c>
      <c r="AD6">
        <f>Assumptions!$O$68</f>
        <v/>
      </c>
      <c r="AE6">
        <f>Assumptions!$P$68</f>
        <v/>
      </c>
    </row>
    <row r="7">
      <c r="A7" s="13" t="inlineStr">
        <is>
          <t>Creative studios and makers</t>
        </is>
      </c>
      <c r="B7" s="13" t="inlineStr">
        <is>
          <t>Birtley</t>
        </is>
      </c>
      <c r="F7" s="13" t="inlineStr">
        <is>
          <t>Other</t>
        </is>
      </c>
      <c r="G7" s="13" t="inlineStr">
        <is>
          <t>Adults 30-49, arts more than once a week</t>
        </is>
      </c>
      <c r="H7" s="13" t="inlineStr">
        <is>
          <t>Slight Beneficial</t>
        </is>
      </c>
      <c r="I7" s="13" t="n">
        <v>3</v>
      </c>
      <c r="J7" s="13" t="inlineStr">
        <is>
          <t>3 Practitioner monitored</t>
        </is>
      </c>
      <c r="K7" s="20">
        <f>Assumptions!$O$84/595*411</f>
        <v/>
      </c>
      <c r="L7" s="13" t="inlineStr">
        <is>
          <t>District Centre</t>
        </is>
      </c>
      <c r="N7" t="inlineStr">
        <is>
          <t>Creative studios and makers</t>
        </is>
      </c>
      <c r="O7">
        <f>Assumptions!$N$37</f>
        <v/>
      </c>
      <c r="P7">
        <f>Assumptions!$O$37</f>
        <v/>
      </c>
      <c r="Q7">
        <f>Assumptions!$P$37</f>
        <v/>
      </c>
      <c r="R7">
        <f>Assumptions!$Q$37</f>
        <v/>
      </c>
      <c r="S7" t="n">
        <v>0</v>
      </c>
      <c r="T7">
        <f>Assumptions!$O$48</f>
        <v/>
      </c>
      <c r="U7">
        <f>Assumptions!$Q$48</f>
        <v/>
      </c>
      <c r="V7">
        <f>Assumptions!$N$62</f>
        <v/>
      </c>
      <c r="W7">
        <f>Assumptions!$O$62</f>
        <v/>
      </c>
      <c r="X7">
        <f>Assumptions!$P$62</f>
        <v/>
      </c>
      <c r="Y7">
        <f>Assumptions!$Q$62</f>
        <v/>
      </c>
      <c r="Z7">
        <f>Assumptions!$N$55</f>
        <v/>
      </c>
      <c r="AA7">
        <f>Assumptions!$O$55</f>
        <v/>
      </c>
      <c r="AB7">
        <f>Assumptions!$P$55</f>
        <v/>
      </c>
      <c r="AC7">
        <f>Assumptions!$N$68</f>
        <v/>
      </c>
      <c r="AD7">
        <f>Assumptions!$O$68</f>
        <v/>
      </c>
      <c r="AE7">
        <f>Assumptions!$P$68</f>
        <v/>
      </c>
    </row>
    <row r="8">
      <c r="A8" s="13" t="inlineStr">
        <is>
          <t>Workspace and co-working</t>
        </is>
      </c>
      <c r="B8" s="13" t="inlineStr">
        <is>
          <t>Coatsworth Road</t>
        </is>
      </c>
      <c r="H8" s="13" t="inlineStr">
        <is>
          <t>Neutral</t>
        </is>
      </c>
      <c r="I8" s="13" t="n">
        <v>4</v>
      </c>
      <c r="J8" s="13" t="inlineStr">
        <is>
          <t>4 Benchmark or ready reckoner</t>
        </is>
      </c>
      <c r="L8" s="13" t="inlineStr">
        <is>
          <t>District Centre</t>
        </is>
      </c>
      <c r="N8" t="inlineStr">
        <is>
          <t>Workspace and co-working</t>
        </is>
      </c>
      <c r="O8">
        <f>Assumptions!$N$38</f>
        <v/>
      </c>
      <c r="P8">
        <f>Assumptions!$O$38</f>
        <v/>
      </c>
      <c r="Q8">
        <f>Assumptions!$P$38</f>
        <v/>
      </c>
      <c r="R8">
        <f>Assumptions!$Q$38</f>
        <v/>
      </c>
      <c r="S8" t="n">
        <v>0</v>
      </c>
      <c r="T8">
        <f>Assumptions!$O$49</f>
        <v/>
      </c>
      <c r="U8">
        <f>Assumptions!$Q$49</f>
        <v/>
      </c>
      <c r="V8">
        <f>Assumptions!$N$63</f>
        <v/>
      </c>
      <c r="W8">
        <f>Assumptions!$O$63</f>
        <v/>
      </c>
      <c r="X8">
        <f>Assumptions!$P$63</f>
        <v/>
      </c>
      <c r="Y8">
        <f>Assumptions!$Q$63</f>
        <v/>
      </c>
      <c r="Z8">
        <f>Assumptions!$N$55</f>
        <v/>
      </c>
      <c r="AA8">
        <f>Assumptions!$O$55</f>
        <v/>
      </c>
      <c r="AB8">
        <f>Assumptions!$P$55</f>
        <v/>
      </c>
      <c r="AC8">
        <f>Assumptions!$N$68</f>
        <v/>
      </c>
      <c r="AD8">
        <f>Assumptions!$O$68</f>
        <v/>
      </c>
      <c r="AE8">
        <f>Assumptions!$P$68</f>
        <v/>
      </c>
    </row>
    <row r="9">
      <c r="A9" s="13" t="inlineStr">
        <is>
          <t>Community hub</t>
        </is>
      </c>
      <c r="B9" s="13" t="inlineStr">
        <is>
          <t>Felling</t>
        </is>
      </c>
      <c r="H9" s="13" t="inlineStr">
        <is>
          <t>Slight Adverse</t>
        </is>
      </c>
      <c r="I9" s="13" t="n">
        <v>5</v>
      </c>
      <c r="J9" s="13" t="inlineStr">
        <is>
          <t>5 4 to 5 years old</t>
        </is>
      </c>
      <c r="L9" s="13" t="inlineStr">
        <is>
          <t>District Centre</t>
        </is>
      </c>
      <c r="N9" t="inlineStr">
        <is>
          <t>Community hub</t>
        </is>
      </c>
      <c r="S9" t="n">
        <v>0</v>
      </c>
      <c r="T9">
        <f>Assumptions!$O$50</f>
        <v/>
      </c>
      <c r="U9">
        <f>Assumptions!$Q$50</f>
        <v/>
      </c>
      <c r="V9">
        <f>Assumptions!$N$64</f>
        <v/>
      </c>
      <c r="W9">
        <f>Assumptions!$O$64</f>
        <v/>
      </c>
      <c r="X9">
        <f>Assumptions!$P$64</f>
        <v/>
      </c>
      <c r="Y9">
        <f>Assumptions!$Q$64</f>
        <v/>
      </c>
      <c r="Z9">
        <f>Assumptions!$N$56</f>
        <v/>
      </c>
      <c r="AA9">
        <f>Assumptions!$O$56</f>
        <v/>
      </c>
      <c r="AB9">
        <f>Assumptions!$P$56</f>
        <v/>
      </c>
      <c r="AC9">
        <f>Assumptions!$N$69</f>
        <v/>
      </c>
      <c r="AD9">
        <f>Assumptions!$O$69</f>
        <v/>
      </c>
      <c r="AE9">
        <f>Assumptions!$P$69</f>
        <v/>
      </c>
    </row>
    <row r="10">
      <c r="A10" s="13" t="inlineStr">
        <is>
          <t>Training and skills</t>
        </is>
      </c>
      <c r="B10" s="13" t="inlineStr">
        <is>
          <t>Low Fell</t>
        </is>
      </c>
      <c r="H10" s="13" t="inlineStr">
        <is>
          <t>Moderate Adverse</t>
        </is>
      </c>
      <c r="I10" s="13" t="n">
        <v>6</v>
      </c>
      <c r="J10" s="13" t="inlineStr">
        <is>
          <t>6 Expert judgement</t>
        </is>
      </c>
      <c r="L10" s="13" t="inlineStr">
        <is>
          <t>District Centre</t>
        </is>
      </c>
      <c r="N10" t="inlineStr">
        <is>
          <t>Training and skills</t>
        </is>
      </c>
      <c r="S10" t="n">
        <v>0</v>
      </c>
      <c r="T10">
        <f>Assumptions!$O$51</f>
        <v/>
      </c>
      <c r="U10">
        <f>Assumptions!$Q$51</f>
        <v/>
      </c>
      <c r="V10">
        <f>Assumptions!$N$65</f>
        <v/>
      </c>
      <c r="W10">
        <f>Assumptions!$O$65</f>
        <v/>
      </c>
      <c r="X10">
        <f>Assumptions!$P$65</f>
        <v/>
      </c>
      <c r="Y10">
        <f>Assumptions!$Q$65</f>
        <v/>
      </c>
      <c r="Z10">
        <f>Assumptions!$N$56</f>
        <v/>
      </c>
      <c r="AA10">
        <f>Assumptions!$O$56</f>
        <v/>
      </c>
      <c r="AB10">
        <f>Assumptions!$P$56</f>
        <v/>
      </c>
      <c r="AC10">
        <f>Assumptions!$N$69</f>
        <v/>
      </c>
      <c r="AD10">
        <f>Assumptions!$O$69</f>
        <v/>
      </c>
      <c r="AE10">
        <f>Assumptions!$P$69</f>
        <v/>
      </c>
    </row>
    <row r="11">
      <c r="A11" s="13" t="inlineStr">
        <is>
          <t>Arts, culture and events</t>
        </is>
      </c>
      <c r="B11" s="13" t="inlineStr">
        <is>
          <t>Ryton</t>
        </is>
      </c>
      <c r="H11" s="13" t="inlineStr">
        <is>
          <t>Large Adverse</t>
        </is>
      </c>
      <c r="L11" s="13" t="inlineStr">
        <is>
          <t>District Centre</t>
        </is>
      </c>
      <c r="N11" t="inlineStr">
        <is>
          <t>Arts, culture and events</t>
        </is>
      </c>
      <c r="S11" t="n">
        <v>0</v>
      </c>
      <c r="T11">
        <f>Assumptions!$O$52</f>
        <v/>
      </c>
      <c r="U11">
        <f>Assumptions!$Q$52</f>
        <v/>
      </c>
      <c r="V11">
        <f>Assumptions!$N$66</f>
        <v/>
      </c>
      <c r="W11">
        <f>Assumptions!$O$66</f>
        <v/>
      </c>
      <c r="X11">
        <f>Assumptions!$P$66</f>
        <v/>
      </c>
      <c r="Y11">
        <f>Assumptions!$Q$66</f>
        <v/>
      </c>
      <c r="Z11">
        <f>Assumptions!$N$55</f>
        <v/>
      </c>
      <c r="AA11">
        <f>Assumptions!$O$55</f>
        <v/>
      </c>
      <c r="AB11">
        <f>Assumptions!$P$55</f>
        <v/>
      </c>
      <c r="AC11">
        <f>Assumptions!$N$68</f>
        <v/>
      </c>
      <c r="AD11">
        <f>Assumptions!$O$68</f>
        <v/>
      </c>
      <c r="AE11">
        <f>Assumptions!$P$68</f>
        <v/>
      </c>
    </row>
    <row r="12">
      <c r="A12" s="13" t="inlineStr">
        <is>
          <t>Health and wellbeing</t>
        </is>
      </c>
      <c r="B12" s="13" t="inlineStr">
        <is>
          <t>Whickham</t>
        </is>
      </c>
      <c r="L12" s="13" t="inlineStr">
        <is>
          <t>District Centre</t>
        </is>
      </c>
      <c r="N12" t="inlineStr">
        <is>
          <t>Health and wellbeing</t>
        </is>
      </c>
      <c r="O12">
        <f>Assumptions!$N$39</f>
        <v/>
      </c>
      <c r="P12">
        <f>Assumptions!$O$39</f>
        <v/>
      </c>
      <c r="Q12">
        <f>Assumptions!$P$39</f>
        <v/>
      </c>
      <c r="R12">
        <f>Assumptions!$Q$39</f>
        <v/>
      </c>
      <c r="S12" t="n">
        <v>0</v>
      </c>
      <c r="T12">
        <f>Assumptions!$O$53</f>
        <v/>
      </c>
      <c r="U12">
        <f>Assumptions!$Q$53</f>
        <v/>
      </c>
      <c r="V12">
        <f>Assumptions!$N$67</f>
        <v/>
      </c>
      <c r="W12">
        <f>Assumptions!$O$67</f>
        <v/>
      </c>
      <c r="X12">
        <f>Assumptions!$P$67</f>
        <v/>
      </c>
      <c r="Y12">
        <f>Assumptions!$Q$67</f>
        <v/>
      </c>
      <c r="Z12">
        <f>Assumptions!$N$55</f>
        <v/>
      </c>
      <c r="AA12">
        <f>Assumptions!$O$55</f>
        <v/>
      </c>
      <c r="AB12">
        <f>Assumptions!$P$55</f>
        <v/>
      </c>
      <c r="AC12">
        <f>Assumptions!$N$68</f>
        <v/>
      </c>
      <c r="AD12">
        <f>Assumptions!$O$68</f>
        <v/>
      </c>
      <c r="AE12">
        <f>Assumptions!$P$68</f>
        <v/>
      </c>
    </row>
    <row r="13">
      <c r="B13" s="13" t="inlineStr">
        <is>
          <t>Wrekenton</t>
        </is>
      </c>
      <c r="L13" s="13" t="inlineStr">
        <is>
          <t>District Centre</t>
        </is>
      </c>
    </row>
    <row r="14">
      <c r="B14" s="13" t="inlineStr">
        <is>
          <t>Askew Road</t>
        </is>
      </c>
      <c r="L14" s="13" t="inlineStr">
        <is>
          <t>Local Centre</t>
        </is>
      </c>
    </row>
    <row r="15">
      <c r="B15" s="13" t="inlineStr">
        <is>
          <t>Chopwell</t>
        </is>
      </c>
      <c r="L15" s="13" t="inlineStr">
        <is>
          <t>Local Centre</t>
        </is>
      </c>
    </row>
    <row r="16">
      <c r="B16" s="13" t="inlineStr">
        <is>
          <t>Crawcrook</t>
        </is>
      </c>
      <c r="L16" s="13" t="inlineStr">
        <is>
          <t>Local Centre</t>
        </is>
      </c>
    </row>
    <row r="17">
      <c r="B17" s="13" t="inlineStr">
        <is>
          <t>Ellison Road</t>
        </is>
      </c>
      <c r="L17" s="13" t="inlineStr">
        <is>
          <t>Local Centre</t>
        </is>
      </c>
    </row>
    <row r="18">
      <c r="B18" s="13" t="inlineStr">
        <is>
          <t>Fewster Square</t>
        </is>
      </c>
      <c r="L18" s="13" t="inlineStr">
        <is>
          <t>Local Centre</t>
        </is>
      </c>
    </row>
    <row r="19">
      <c r="B19" s="13" t="inlineStr">
        <is>
          <t>High Spen</t>
        </is>
      </c>
      <c r="L19" s="13" t="inlineStr">
        <is>
          <t>Local Centre</t>
        </is>
      </c>
    </row>
    <row r="20">
      <c r="B20" s="13" t="inlineStr">
        <is>
          <t>Old Durham Road</t>
        </is>
      </c>
      <c r="L20" s="13" t="inlineStr">
        <is>
          <t>Local Centre</t>
        </is>
      </c>
    </row>
    <row r="21">
      <c r="B21" s="13" t="inlineStr">
        <is>
          <t>Pelaw</t>
        </is>
      </c>
      <c r="L21" s="13" t="inlineStr">
        <is>
          <t>Local Centre</t>
        </is>
      </c>
    </row>
    <row r="22">
      <c r="B22" s="13" t="inlineStr">
        <is>
          <t>Ravensworth Road</t>
        </is>
      </c>
      <c r="L22" s="13" t="inlineStr">
        <is>
          <t>Local Centre</t>
        </is>
      </c>
    </row>
    <row r="23">
      <c r="B23" s="13" t="inlineStr">
        <is>
          <t>Rowlands Gill</t>
        </is>
      </c>
      <c r="L23" s="13" t="inlineStr">
        <is>
          <t>Local Centre</t>
        </is>
      </c>
    </row>
    <row r="24">
      <c r="B24" s="13" t="inlineStr">
        <is>
          <t>Saltwell Road</t>
        </is>
      </c>
      <c r="L24" s="13" t="inlineStr">
        <is>
          <t>Local Centre</t>
        </is>
      </c>
    </row>
    <row r="25">
      <c r="B25" s="13" t="inlineStr">
        <is>
          <t>Sheriffs Highway</t>
        </is>
      </c>
      <c r="L25" s="13" t="inlineStr">
        <is>
          <t>Local Centre</t>
        </is>
      </c>
    </row>
    <row r="26">
      <c r="B26" s="13" t="inlineStr">
        <is>
          <t>Sunniside</t>
        </is>
      </c>
      <c r="L26" s="13" t="inlineStr">
        <is>
          <t>Local Centre</t>
        </is>
      </c>
    </row>
    <row r="27">
      <c r="B27" s="13" t="inlineStr">
        <is>
          <t>Swalwell</t>
        </is>
      </c>
      <c r="L27" s="13" t="inlineStr">
        <is>
          <t>Local Centre</t>
        </is>
      </c>
    </row>
    <row r="28">
      <c r="B28" s="13" t="inlineStr">
        <is>
          <t>Winlaton</t>
        </is>
      </c>
      <c r="L28" s="13" t="inlineStr">
        <is>
          <t>Local Centre</t>
        </is>
      </c>
    </row>
    <row r="29">
      <c r="B29" s="13" t="inlineStr">
        <is>
          <t>Outside the hierarchy</t>
        </is>
      </c>
      <c r="L29" s="13" t="inlineStr">
        <is>
          <t>Outside the hierarchy</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52"/>
  <sheetViews>
    <sheetView showGridLines="0" workbookViewId="0">
      <selection activeCell="A1" sqref="A1"/>
    </sheetView>
  </sheetViews>
  <sheetFormatPr baseColWidth="8" defaultRowHeight="15"/>
  <cols>
    <col width="60" customWidth="1" min="1" max="1"/>
    <col width="36" customWidth="1" min="2" max="2"/>
    <col width="30" customWidth="1" min="3" max="3"/>
    <col width="14" customWidth="1" min="4" max="4"/>
  </cols>
  <sheetData>
    <row r="1">
      <c r="A1" s="1" t="inlineStr">
        <is>
          <t>Sources</t>
        </is>
      </c>
    </row>
    <row r="2">
      <c r="A2" s="5" t="inlineStr">
        <is>
          <t>Every source in the assumptions register, with its edition.</t>
        </is>
      </c>
    </row>
    <row r="4">
      <c r="A4" s="6" t="inlineStr">
        <is>
          <t>Source</t>
        </is>
      </c>
      <c r="B4" s="6" t="inlineStr">
        <is>
          <t>Edition</t>
        </is>
      </c>
      <c r="C4" s="6" t="inlineStr">
        <is>
          <t>Rows</t>
        </is>
      </c>
      <c r="D4" s="6" t="inlineStr">
        <is>
          <t>Link</t>
        </is>
      </c>
    </row>
    <row r="5">
      <c r="A5" s="4" t="inlineStr">
        <is>
          <t>Agreed design (decision 15)</t>
        </is>
      </c>
      <c r="B5" s="4" t="inlineStr"/>
      <c r="C5" s="4" t="inlineStr">
        <is>
          <t>D1</t>
        </is>
      </c>
    </row>
    <row r="6">
      <c r="A6" s="4" t="inlineStr">
        <is>
          <t>Core Strategy and Urban Core Plan for Gateshead and Newcastle 2010-2030, Policy CS7</t>
        </is>
      </c>
      <c r="B6" s="4" t="inlineStr">
        <is>
          <t>Adopted March 2015 (in force; new joint plan to 2045 under preparation)</t>
        </is>
      </c>
      <c r="C6" s="4" t="inlineStr">
        <is>
          <t>P1</t>
        </is>
      </c>
      <c r="D6" s="48" t="inlineStr">
        <is>
          <t>Open</t>
        </is>
      </c>
    </row>
    <row r="7">
      <c r="A7" s="4" t="inlineStr">
        <is>
          <t>GMCA Unit Cost Database v3.0</t>
        </is>
      </c>
      <c r="B7" s="4" t="inlineStr">
        <is>
          <t>November 2025 (2025/26 prices)</t>
        </is>
      </c>
      <c r="C7" s="4" t="inlineStr">
        <is>
          <t>S8</t>
        </is>
      </c>
      <c r="D7" s="48" t="inlineStr">
        <is>
          <t>Open</t>
        </is>
      </c>
    </row>
    <row r="8">
      <c r="A8" s="4" t="inlineStr">
        <is>
          <t>GMCA Unit Cost Database v3.0</t>
        </is>
      </c>
      <c r="B8" s="4" t="inlineStr">
        <is>
          <t>November 2025 (2025/26 prices; 2010/11 base)</t>
        </is>
      </c>
      <c r="C8" s="4" t="inlineStr">
        <is>
          <t>S10, S11</t>
        </is>
      </c>
      <c r="D8" s="48" t="inlineStr">
        <is>
          <t>Open</t>
        </is>
      </c>
    </row>
    <row r="9">
      <c r="A9" s="4" t="inlineStr">
        <is>
          <t>GMCA Unit Cost Database v3.0 (for accredited courses only)</t>
        </is>
      </c>
      <c r="B9" s="4" t="inlineStr">
        <is>
          <t>November 2025</t>
        </is>
      </c>
      <c r="C9" s="4" t="inlineStr">
        <is>
          <t>S9</t>
        </is>
      </c>
      <c r="D9" s="48" t="inlineStr">
        <is>
          <t>Open</t>
        </is>
      </c>
    </row>
    <row r="10">
      <c r="A10" s="4" t="inlineStr">
        <is>
          <t>GMCA Unit Cost Database v3.0, from DCMS Culture and Heritage Capital (2024)</t>
        </is>
      </c>
      <c r="B10" s="4" t="inlineStr">
        <is>
          <t>November 2025 (2025/26 prices)</t>
        </is>
      </c>
      <c r="C10" s="4" t="inlineStr">
        <is>
          <t>S5</t>
        </is>
      </c>
      <c r="D10" s="48" t="inlineStr">
        <is>
          <t>Open</t>
        </is>
      </c>
    </row>
    <row r="11">
      <c r="A11" s="4" t="inlineStr">
        <is>
          <t>GOV.UK, Charitable rate relief</t>
        </is>
      </c>
      <c r="B11" s="4" t="inlineStr">
        <is>
          <t>Checked 23 October 2026</t>
        </is>
      </c>
      <c r="C11" s="4" t="inlineStr">
        <is>
          <t>B6</t>
        </is>
      </c>
      <c r="D11" s="48" t="inlineStr">
        <is>
          <t>Open</t>
        </is>
      </c>
    </row>
    <row r="12">
      <c r="A12" s="4" t="inlineStr">
        <is>
          <t>GOV.UK, Empty property relief</t>
        </is>
      </c>
      <c r="B12" s="4" t="inlineStr">
        <is>
          <t>Checked 23 October 2026</t>
        </is>
      </c>
      <c r="C12" s="4" t="inlineStr">
        <is>
          <t>B2</t>
        </is>
      </c>
      <c r="D12" s="48" t="inlineStr">
        <is>
          <t>Open</t>
        </is>
      </c>
    </row>
    <row r="13">
      <c r="A13" s="4" t="inlineStr">
        <is>
          <t>GOV.UK, Estimate your business rates</t>
        </is>
      </c>
      <c r="B13" s="4" t="inlineStr">
        <is>
          <t>Checked 23 October 2026</t>
        </is>
      </c>
      <c r="C13" s="4" t="inlineStr">
        <is>
          <t>B4</t>
        </is>
      </c>
      <c r="D13" s="48" t="inlineStr">
        <is>
          <t>Open</t>
        </is>
      </c>
    </row>
    <row r="14">
      <c r="A14" s="4" t="inlineStr">
        <is>
          <t>GOV.UK, How your rates are calculated; VOA Find a business rates valuation (per property)</t>
        </is>
      </c>
      <c r="B14" s="4" t="inlineStr">
        <is>
          <t>2026 rating list, valuation date 1 April 2024</t>
        </is>
      </c>
      <c r="C14" s="4" t="inlineStr">
        <is>
          <t>V1</t>
        </is>
      </c>
      <c r="D14" s="48" t="inlineStr">
        <is>
          <t>Open</t>
        </is>
      </c>
    </row>
    <row r="15">
      <c r="A15" s="4" t="inlineStr">
        <is>
          <t>GOV.UK, Small business rate relief</t>
        </is>
      </c>
      <c r="B15" s="4" t="inlineStr">
        <is>
          <t>Checked 23 October 2026</t>
        </is>
      </c>
      <c r="C15" s="4" t="inlineStr">
        <is>
          <t>B5</t>
        </is>
      </c>
      <c r="D15" s="48" t="inlineStr">
        <is>
          <t>Open</t>
        </is>
      </c>
    </row>
    <row r="16">
      <c r="A16" s="4" t="inlineStr">
        <is>
          <t>GOV.UK, VAT rates</t>
        </is>
      </c>
      <c r="B16" s="4" t="inlineStr">
        <is>
          <t>Checked 23 October 2026</t>
        </is>
      </c>
      <c r="C16" s="4" t="inlineStr">
        <is>
          <t>X7</t>
        </is>
      </c>
      <c r="D16" s="48" t="inlineStr">
        <is>
          <t>Open</t>
        </is>
      </c>
    </row>
    <row r="17">
      <c r="A17" s="4" t="inlineStr">
        <is>
          <t>HCA Additionality Guide deadweight ready reckoner</t>
        </is>
      </c>
      <c r="B17" s="4" t="inlineStr">
        <is>
          <t>2014</t>
        </is>
      </c>
      <c r="C17" s="4" t="inlineStr">
        <is>
          <t>X4</t>
        </is>
      </c>
      <c r="D17" s="48" t="inlineStr">
        <is>
          <t>Open</t>
        </is>
      </c>
    </row>
    <row r="18">
      <c r="A18" s="4" t="inlineStr">
        <is>
          <t>HCA Additionality Guide, 4th edition</t>
        </is>
      </c>
      <c r="B18" s="4" t="inlineStr">
        <is>
          <t>2014</t>
        </is>
      </c>
      <c r="C18" s="4" t="inlineStr">
        <is>
          <t>J20, J21, J22, J34, J35, J36, X5, L1, L2</t>
        </is>
      </c>
      <c r="D18" s="48" t="inlineStr">
        <is>
          <t>Open</t>
        </is>
      </c>
    </row>
    <row r="19">
      <c r="A19" s="4" t="inlineStr">
        <is>
          <t>HCA Additionality Guide, 4th edition (property-led regeneration research)</t>
        </is>
      </c>
      <c r="B19" s="4" t="inlineStr">
        <is>
          <t>2014 (underlying research 1980s to 1990s)</t>
        </is>
      </c>
      <c r="C19" s="4" t="inlineStr">
        <is>
          <t>S3</t>
        </is>
      </c>
      <c r="D19" s="48" t="inlineStr">
        <is>
          <t>Open</t>
        </is>
      </c>
    </row>
    <row r="20">
      <c r="A20" s="4" t="inlineStr">
        <is>
          <t>HCA Additionality Guide, 4th edition; MHCLG Appraisal Guide</t>
        </is>
      </c>
      <c r="B20" s="4" t="inlineStr">
        <is>
          <t>2014; February 2026</t>
        </is>
      </c>
      <c r="C20" s="4" t="inlineStr">
        <is>
          <t>J24</t>
        </is>
      </c>
      <c r="D20" s="48" t="inlineStr">
        <is>
          <t>Open</t>
        </is>
      </c>
    </row>
    <row r="21">
      <c r="A21" s="4" t="inlineStr">
        <is>
          <t>HCA Employment Density Guide, 3rd edition</t>
        </is>
      </c>
      <c r="B21" s="4" t="inlineStr">
        <is>
          <t>November 2015</t>
        </is>
      </c>
      <c r="C21" s="4" t="inlineStr">
        <is>
          <t>J6, J7, J8, J9, J10, J11</t>
        </is>
      </c>
      <c r="D21" s="48" t="inlineStr">
        <is>
          <t>Open</t>
        </is>
      </c>
    </row>
    <row r="22">
      <c r="A22" s="4" t="inlineStr">
        <is>
          <t>HCA Employment Density Guide, 3rd edition (Bilfinger GVA)</t>
        </is>
      </c>
      <c r="B22" s="4" t="inlineStr">
        <is>
          <t>November 2015</t>
        </is>
      </c>
      <c r="C22" s="4" t="inlineStr">
        <is>
          <t>J1, J2, J3, J4, J5</t>
        </is>
      </c>
      <c r="D22" s="48" t="inlineStr">
        <is>
          <t>Open</t>
        </is>
      </c>
    </row>
    <row r="23">
      <c r="A23" s="4" t="inlineStr">
        <is>
          <t>HM Treasury GDP deflators, September 2026</t>
        </is>
      </c>
      <c r="B23" s="4" t="inlineStr">
        <is>
          <t>1 October 2026</t>
        </is>
      </c>
      <c r="C23" s="4" t="inlineStr">
        <is>
          <t>A4, V3</t>
        </is>
      </c>
      <c r="D23" s="48" t="inlineStr">
        <is>
          <t>Open</t>
        </is>
      </c>
    </row>
    <row r="24">
      <c r="A24" s="4" t="inlineStr">
        <is>
          <t>HM Treasury GDP deflators, September 2026 (Quarterly National Accounts)</t>
        </is>
      </c>
      <c r="B24" s="4" t="inlineStr">
        <is>
          <t>1 October 2026</t>
        </is>
      </c>
      <c r="C24" s="4" t="inlineStr">
        <is>
          <t>A3</t>
        </is>
      </c>
      <c r="D24" s="48" t="inlineStr">
        <is>
          <t>Open</t>
        </is>
      </c>
    </row>
    <row r="25">
      <c r="A25" s="4" t="inlineStr">
        <is>
          <t>HM Treasury, CBA guidance for local partnerships</t>
        </is>
      </c>
      <c r="B25" s="4" t="inlineStr">
        <is>
          <t>April 2014</t>
        </is>
      </c>
      <c r="C25" s="4" t="inlineStr">
        <is>
          <t>S4</t>
        </is>
      </c>
      <c r="D25" s="48" t="inlineStr">
        <is>
          <t>Open</t>
        </is>
      </c>
    </row>
    <row r="26">
      <c r="A26" s="4" t="inlineStr">
        <is>
          <t>HM Treasury, Green Book 2026</t>
        </is>
      </c>
      <c r="B26" s="4" t="inlineStr">
        <is>
          <t>February 2026</t>
        </is>
      </c>
      <c r="C26" s="4" t="inlineStr">
        <is>
          <t>A1, A7, J25</t>
        </is>
      </c>
      <c r="D26" s="48" t="inlineStr">
        <is>
          <t>Open</t>
        </is>
      </c>
    </row>
    <row r="27">
      <c r="A27" s="4" t="inlineStr">
        <is>
          <t>HM Treasury, Green Book supplementary guidance: discounting</t>
        </is>
      </c>
      <c r="B27" s="4" t="inlineStr">
        <is>
          <t>February 2026</t>
        </is>
      </c>
      <c r="C27" s="4" t="inlineStr">
        <is>
          <t>A2</t>
        </is>
      </c>
      <c r="D27" s="48" t="inlineStr">
        <is>
          <t>Open</t>
        </is>
      </c>
    </row>
    <row r="28">
      <c r="A28" s="4" t="inlineStr">
        <is>
          <t>HM Treasury, Supplementary Green Book guidance: optimism bias</t>
        </is>
      </c>
      <c r="B28" s="4" t="inlineStr">
        <is>
          <t>2013 page date</t>
        </is>
      </c>
      <c r="C28" s="4" t="inlineStr">
        <is>
          <t>C8</t>
        </is>
      </c>
      <c r="D28" s="48" t="inlineStr">
        <is>
          <t>Open</t>
        </is>
      </c>
    </row>
    <row r="29">
      <c r="A29" s="4" t="inlineStr">
        <is>
          <t>HM Treasury, Supplementary Green Book guidance: optimism bias; MHCLG Appraisal Guide Annex F</t>
        </is>
      </c>
      <c r="B29" s="4" t="inlineStr">
        <is>
          <t>2013 page date; MHCLG February 2026</t>
        </is>
      </c>
      <c r="C29" s="4" t="inlineStr">
        <is>
          <t>C7</t>
        </is>
      </c>
      <c r="D29" s="48" t="inlineStr">
        <is>
          <t>Open</t>
        </is>
      </c>
    </row>
    <row r="30">
      <c r="A30" s="4" t="inlineStr">
        <is>
          <t>HM Treasury, Supporting public service transformation: CBA guidance for local partnerships</t>
        </is>
      </c>
      <c r="B30" s="4" t="inlineStr">
        <is>
          <t>April 2014</t>
        </is>
      </c>
      <c r="C30" s="4" t="inlineStr">
        <is>
          <t>C1, C2, C3, C4, C5, C6</t>
        </is>
      </c>
      <c r="D30" s="48" t="inlineStr">
        <is>
          <t>Open</t>
        </is>
      </c>
    </row>
    <row r="31">
      <c r="A31" s="4" t="inlineStr">
        <is>
          <t>HM Treasury, Wellbeing Guidance for Appraisal (2021)</t>
        </is>
      </c>
      <c r="B31" s="4" t="inlineStr">
        <is>
          <t>July 2021</t>
        </is>
      </c>
      <c r="C31" s="4" t="inlineStr">
        <is>
          <t>S6, D2</t>
        </is>
      </c>
      <c r="D31" s="48" t="inlineStr">
        <is>
          <t>Open</t>
        </is>
      </c>
    </row>
    <row r="32">
      <c r="A32" s="4" t="inlineStr">
        <is>
          <t>HM Treasury, Wellbeing Guidance for Appraisal (2021)</t>
        </is>
      </c>
      <c r="B32" s="4" t="inlineStr">
        <is>
          <t>July 2021 (page updated 18 November 2022)</t>
        </is>
      </c>
      <c r="C32" s="4" t="inlineStr">
        <is>
          <t>A6</t>
        </is>
      </c>
      <c r="D32" s="48" t="inlineStr">
        <is>
          <t>Open</t>
        </is>
      </c>
    </row>
    <row r="33">
      <c r="A33" s="4" t="inlineStr">
        <is>
          <t>HM Treasury, Wellbeing Guidance for Appraisal (2021), Annex 2; ONS IHXW</t>
        </is>
      </c>
      <c r="B33" s="4" t="inlineStr">
        <is>
          <t>Guidance July 2021; IHXW released 30 September 2026</t>
        </is>
      </c>
      <c r="C33" s="4" t="inlineStr">
        <is>
          <t>A5</t>
        </is>
      </c>
      <c r="D33" s="48" t="inlineStr">
        <is>
          <t>Open</t>
        </is>
      </c>
    </row>
    <row r="34">
      <c r="A34" s="4" t="inlineStr">
        <is>
          <t>HM Treasury, Wellbeing Guidance for Appraisal (2021), from Lawton et al. (2021) Journal of Happiness Studies 22: 599-624</t>
        </is>
      </c>
      <c r="B34" s="4" t="inlineStr">
        <is>
          <t>July 2021</t>
        </is>
      </c>
      <c r="C34" s="4" t="inlineStr">
        <is>
          <t>S1</t>
        </is>
      </c>
      <c r="D34" s="48" t="inlineStr">
        <is>
          <t>Open</t>
        </is>
      </c>
    </row>
    <row r="35">
      <c r="A35" s="4" t="inlineStr">
        <is>
          <t>HM Treasury, Wellbeing Guidance for Appraisal (2021); MHCLG Appraisal Guide 6.19</t>
        </is>
      </c>
      <c r="B35" s="4" t="inlineStr">
        <is>
          <t>July 2021</t>
        </is>
      </c>
      <c r="C35" s="4" t="inlineStr">
        <is>
          <t>S2</t>
        </is>
      </c>
      <c r="D35" s="48" t="inlineStr">
        <is>
          <t>Open</t>
        </is>
      </c>
    </row>
    <row r="36">
      <c r="A36" s="4" t="inlineStr">
        <is>
          <t>Homes England, Measuring Social Value Paper 8</t>
        </is>
      </c>
      <c r="B36" s="4" t="inlineStr">
        <is>
          <t>24 October 2025</t>
        </is>
      </c>
      <c r="C36" s="4" t="inlineStr">
        <is>
          <t>P3</t>
        </is>
      </c>
      <c r="D36" s="48" t="inlineStr">
        <is>
          <t>Open</t>
        </is>
      </c>
    </row>
    <row r="37">
      <c r="A37" s="4" t="inlineStr">
        <is>
          <t>MHCLG Appraisal Guide technical annex</t>
        </is>
      </c>
      <c r="B37" s="4" t="inlineStr">
        <is>
          <t>18 February 2026</t>
        </is>
      </c>
      <c r="C37" s="4" t="inlineStr">
        <is>
          <t>B7, B8</t>
        </is>
      </c>
      <c r="D37" s="48" t="inlineStr">
        <is>
          <t>Open</t>
        </is>
      </c>
    </row>
    <row r="38">
      <c r="A38" s="4" t="inlineStr">
        <is>
          <t>MHCLG Appraisal Guide, 4th edition</t>
        </is>
      </c>
      <c r="B38" s="4" t="inlineStr">
        <is>
          <t>February 2026</t>
        </is>
      </c>
      <c r="C38" s="4" t="inlineStr">
        <is>
          <t>C9, C10, V4, P2</t>
        </is>
      </c>
      <c r="D38" s="48" t="inlineStr">
        <is>
          <t>Open</t>
        </is>
      </c>
    </row>
    <row r="39">
      <c r="A39" s="4" t="inlineStr">
        <is>
          <t>MHCLG Appraisal Guide, 4th edition; Green Book 2026</t>
        </is>
      </c>
      <c r="B39" s="4" t="inlineStr">
        <is>
          <t>February 2026</t>
        </is>
      </c>
      <c r="C39" s="4" t="inlineStr">
        <is>
          <t>D3</t>
        </is>
      </c>
      <c r="D39" s="48" t="inlineStr">
        <is>
          <t>Open</t>
        </is>
      </c>
    </row>
    <row r="40">
      <c r="A40" s="4" t="inlineStr">
        <is>
          <t>MHCLG Towns Fund evaluation VfM Annex (HACT value)</t>
        </is>
      </c>
      <c r="B40" s="4" t="inlineStr">
        <is>
          <t>17 July 2026</t>
        </is>
      </c>
      <c r="C40" s="4" t="inlineStr">
        <is>
          <t>S7</t>
        </is>
      </c>
      <c r="D40" s="48" t="inlineStr">
        <is>
          <t>Open</t>
        </is>
      </c>
    </row>
    <row r="41">
      <c r="A41" s="4" t="inlineStr">
        <is>
          <t>MHCLG Towns Fund evaluation, Value for Money Annex</t>
        </is>
      </c>
      <c r="B41" s="4" t="inlineStr">
        <is>
          <t>17 July 2026</t>
        </is>
      </c>
      <c r="C41" s="4" t="inlineStr">
        <is>
          <t>X1</t>
        </is>
      </c>
      <c r="D41" s="48" t="inlineStr">
        <is>
          <t>Open</t>
        </is>
      </c>
    </row>
    <row r="42">
      <c r="A42" s="4" t="inlineStr">
        <is>
          <t>No published benchmark found</t>
        </is>
      </c>
      <c r="B42" s="4" t="inlineStr"/>
      <c r="C42" s="4" t="inlineStr">
        <is>
          <t>B9</t>
        </is>
      </c>
    </row>
    <row r="43">
      <c r="A43" s="4" t="inlineStr">
        <is>
          <t>No robust evidence found</t>
        </is>
      </c>
      <c r="B43" s="4" t="inlineStr"/>
      <c r="C43" s="4" t="inlineStr">
        <is>
          <t>L3</t>
        </is>
      </c>
    </row>
    <row r="44">
      <c r="A44" s="4" t="inlineStr">
        <is>
          <t>Non-Domestic Rating (Unoccupied Property) (England) (Amendment) Regulations 2024, SI 2024/323</t>
        </is>
      </c>
      <c r="B44" s="4" t="inlineStr">
        <is>
          <t>In force 1 April 2024</t>
        </is>
      </c>
      <c r="C44" s="4" t="inlineStr">
        <is>
          <t>B3</t>
        </is>
      </c>
      <c r="D44" s="48" t="inlineStr">
        <is>
          <t>Open</t>
        </is>
      </c>
    </row>
    <row r="45">
      <c r="A45" s="4" t="inlineStr">
        <is>
          <t>ONS Annual Business Survey, Sections A to S, 2024 results</t>
        </is>
      </c>
      <c r="B45" s="4" t="inlineStr">
        <is>
          <t>26 May 2026</t>
        </is>
      </c>
      <c r="C45" s="4" t="inlineStr">
        <is>
          <t>X2, X3</t>
        </is>
      </c>
      <c r="D45" s="48" t="inlineStr">
        <is>
          <t>Open</t>
        </is>
      </c>
    </row>
    <row r="46">
      <c r="A46" s="4" t="inlineStr">
        <is>
          <t>ONS BRES 2024 (NOMIS NM_189_1) and UK Business Counts March 2025 (NOMIS NM_141_1)</t>
        </is>
      </c>
      <c r="B46" s="4" t="inlineStr">
        <is>
          <t>BRES 2024 (next: 18 November 2026); UKBC March 2025</t>
        </is>
      </c>
      <c r="C46" s="4" t="inlineStr">
        <is>
          <t>J12, J13, J14, J15, J16, J17, J18, J19</t>
        </is>
      </c>
      <c r="D46" s="48" t="inlineStr">
        <is>
          <t>Open</t>
        </is>
      </c>
    </row>
    <row r="47">
      <c r="A47" s="4" t="inlineStr">
        <is>
          <t>ONS Business demography, UK: 2024</t>
        </is>
      </c>
      <c r="B47" s="4" t="inlineStr">
        <is>
          <t>20 November 2025 (next edition 19 November 2026)</t>
        </is>
      </c>
      <c r="C47" s="4" t="inlineStr">
        <is>
          <t>Z1, Z2</t>
        </is>
      </c>
      <c r="D47" s="48" t="inlineStr">
        <is>
          <t>Open</t>
        </is>
      </c>
    </row>
    <row r="48">
      <c r="A48" s="4" t="inlineStr">
        <is>
          <t>ONS regional GVA (balanced) by industry, current prices; BRES 2024</t>
        </is>
      </c>
      <c r="B48" s="4" t="inlineStr">
        <is>
          <t>Published 23 September 2026 (2024 data)</t>
        </is>
      </c>
      <c r="C48" s="4" t="inlineStr">
        <is>
          <t>J26, J27, J28, J29, J30, J31, J32, J33</t>
        </is>
      </c>
      <c r="D48" s="48" t="inlineStr">
        <is>
          <t>Open</t>
        </is>
      </c>
    </row>
    <row r="49">
      <c r="A49" s="4" t="inlineStr">
        <is>
          <t>Open Doors Pilot Programme evaluation</t>
        </is>
      </c>
      <c r="B49" s="4" t="inlineStr">
        <is>
          <t>November 2020</t>
        </is>
      </c>
      <c r="C49" s="4" t="inlineStr">
        <is>
          <t>X6</t>
        </is>
      </c>
      <c r="D49" s="48" t="inlineStr">
        <is>
          <t>Open</t>
        </is>
      </c>
    </row>
    <row r="50">
      <c r="A50" s="4" t="inlineStr">
        <is>
          <t>Open Doors Pilot Programme evaluation (IFF Research for MHCLG); HSRA explanatory memorandum</t>
        </is>
      </c>
      <c r="B50" s="4" t="inlineStr">
        <is>
          <t>November 2020; 2024</t>
        </is>
      </c>
      <c r="C50" s="4" t="inlineStr">
        <is>
          <t>B1</t>
        </is>
      </c>
      <c r="D50" s="48" t="inlineStr">
        <is>
          <t>Open</t>
        </is>
      </c>
    </row>
    <row r="51">
      <c r="A51" s="4" t="inlineStr">
        <is>
          <t>Our judgement</t>
        </is>
      </c>
      <c r="B51" s="4" t="inlineStr"/>
      <c r="C51" s="4" t="inlineStr">
        <is>
          <t>J23</t>
        </is>
      </c>
    </row>
    <row r="52">
      <c r="A52" s="4" t="inlineStr">
        <is>
          <t>Revealed preference: the occupier's own rent</t>
        </is>
      </c>
      <c r="B52" s="4" t="inlineStr"/>
      <c r="C52" s="4" t="inlineStr">
        <is>
          <t>V2</t>
        </is>
      </c>
    </row>
  </sheetData>
  <hyperlinks>
    <hyperlink xmlns:r="http://schemas.openxmlformats.org/officeDocument/2006/relationships" ref="D6" r:id="rId1"/>
    <hyperlink xmlns:r="http://schemas.openxmlformats.org/officeDocument/2006/relationships" ref="D7" r:id="rId2"/>
    <hyperlink xmlns:r="http://schemas.openxmlformats.org/officeDocument/2006/relationships" ref="D8" r:id="rId3"/>
    <hyperlink xmlns:r="http://schemas.openxmlformats.org/officeDocument/2006/relationships" ref="D9" r:id="rId4"/>
    <hyperlink xmlns:r="http://schemas.openxmlformats.org/officeDocument/2006/relationships" ref="D10" r:id="rId5"/>
    <hyperlink xmlns:r="http://schemas.openxmlformats.org/officeDocument/2006/relationships" ref="D11" r:id="rId6"/>
    <hyperlink xmlns:r="http://schemas.openxmlformats.org/officeDocument/2006/relationships" ref="D12" r:id="rId7"/>
    <hyperlink xmlns:r="http://schemas.openxmlformats.org/officeDocument/2006/relationships" ref="D13" r:id="rId8"/>
    <hyperlink xmlns:r="http://schemas.openxmlformats.org/officeDocument/2006/relationships" ref="D14" r:id="rId9"/>
    <hyperlink xmlns:r="http://schemas.openxmlformats.org/officeDocument/2006/relationships" ref="D15" r:id="rId10"/>
    <hyperlink xmlns:r="http://schemas.openxmlformats.org/officeDocument/2006/relationships" ref="D16" r:id="rId11"/>
    <hyperlink xmlns:r="http://schemas.openxmlformats.org/officeDocument/2006/relationships" ref="D17" r:id="rId12"/>
    <hyperlink xmlns:r="http://schemas.openxmlformats.org/officeDocument/2006/relationships" ref="D18" r:id="rId13"/>
    <hyperlink xmlns:r="http://schemas.openxmlformats.org/officeDocument/2006/relationships" ref="D19" r:id="rId14"/>
    <hyperlink xmlns:r="http://schemas.openxmlformats.org/officeDocument/2006/relationships" ref="D20" r:id="rId15"/>
    <hyperlink xmlns:r="http://schemas.openxmlformats.org/officeDocument/2006/relationships" ref="D21" r:id="rId16"/>
    <hyperlink xmlns:r="http://schemas.openxmlformats.org/officeDocument/2006/relationships" ref="D22" r:id="rId17"/>
    <hyperlink xmlns:r="http://schemas.openxmlformats.org/officeDocument/2006/relationships" ref="D23" r:id="rId18"/>
    <hyperlink xmlns:r="http://schemas.openxmlformats.org/officeDocument/2006/relationships" ref="D24" r:id="rId19"/>
    <hyperlink xmlns:r="http://schemas.openxmlformats.org/officeDocument/2006/relationships" ref="D25" r:id="rId20"/>
    <hyperlink xmlns:r="http://schemas.openxmlformats.org/officeDocument/2006/relationships" ref="D26" r:id="rId21"/>
    <hyperlink xmlns:r="http://schemas.openxmlformats.org/officeDocument/2006/relationships" ref="D27" r:id="rId22"/>
    <hyperlink xmlns:r="http://schemas.openxmlformats.org/officeDocument/2006/relationships" ref="D28" r:id="rId23"/>
    <hyperlink xmlns:r="http://schemas.openxmlformats.org/officeDocument/2006/relationships" ref="D29" r:id="rId24"/>
    <hyperlink xmlns:r="http://schemas.openxmlformats.org/officeDocument/2006/relationships" ref="D30" r:id="rId25"/>
    <hyperlink xmlns:r="http://schemas.openxmlformats.org/officeDocument/2006/relationships" ref="D31" r:id="rId26"/>
    <hyperlink xmlns:r="http://schemas.openxmlformats.org/officeDocument/2006/relationships" ref="D32" r:id="rId27"/>
    <hyperlink xmlns:r="http://schemas.openxmlformats.org/officeDocument/2006/relationships" ref="D33" r:id="rId28"/>
    <hyperlink xmlns:r="http://schemas.openxmlformats.org/officeDocument/2006/relationships" ref="D34" r:id="rId29"/>
    <hyperlink xmlns:r="http://schemas.openxmlformats.org/officeDocument/2006/relationships" ref="D35" r:id="rId30"/>
    <hyperlink xmlns:r="http://schemas.openxmlformats.org/officeDocument/2006/relationships" ref="D36" r:id="rId31"/>
    <hyperlink xmlns:r="http://schemas.openxmlformats.org/officeDocument/2006/relationships" ref="D37" r:id="rId32"/>
    <hyperlink xmlns:r="http://schemas.openxmlformats.org/officeDocument/2006/relationships" ref="D38" r:id="rId33"/>
    <hyperlink xmlns:r="http://schemas.openxmlformats.org/officeDocument/2006/relationships" ref="D39" r:id="rId34"/>
    <hyperlink xmlns:r="http://schemas.openxmlformats.org/officeDocument/2006/relationships" ref="D40" r:id="rId35"/>
    <hyperlink xmlns:r="http://schemas.openxmlformats.org/officeDocument/2006/relationships" ref="D41" r:id="rId36"/>
    <hyperlink xmlns:r="http://schemas.openxmlformats.org/officeDocument/2006/relationships" ref="D44" r:id="rId37"/>
    <hyperlink xmlns:r="http://schemas.openxmlformats.org/officeDocument/2006/relationships" ref="D45" r:id="rId38"/>
    <hyperlink xmlns:r="http://schemas.openxmlformats.org/officeDocument/2006/relationships" ref="D46" r:id="rId39"/>
    <hyperlink xmlns:r="http://schemas.openxmlformats.org/officeDocument/2006/relationships" ref="D47" r:id="rId40"/>
    <hyperlink xmlns:r="http://schemas.openxmlformats.org/officeDocument/2006/relationships" ref="D48" r:id="rId41"/>
    <hyperlink xmlns:r="http://schemas.openxmlformats.org/officeDocument/2006/relationships" ref="D49" r:id="rId42"/>
    <hyperlink xmlns:r="http://schemas.openxmlformats.org/officeDocument/2006/relationships" ref="D50" r:id="rId4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2026-10-24T09:47:15Z</dcterms:created>
  <dcterms:modified xmlns:dcterms="http://purl.org/dc/terms/" xmlns:xsi="http://www.w3.org/2001/XMLSchema-instance" xsi:type="dcterms:W3CDTF">2026-10-24T09:47:15Z</dcterms:modified>
</cp:coreProperties>
</file>